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  <sheet name="Summary" sheetId="2" state="visible" r:id="rId4"/>
  </sheets>
  <definedNames>
    <definedName function="false" hidden="true" localSheetId="0" name="_xlnm._FilterDatabase" vbProcedure="false">Assets!$A$1:$J$62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<sst xmlns="http://schemas.openxmlformats.org/spreadsheetml/2006/main" count="550" uniqueCount="261">
  <si>
    <t xml:space="preserve">ID</t>
  </si>
  <si>
    <t xml:space="preserve">Category</t>
  </si>
  <si>
    <t xml:space="preserve">Item</t>
  </si>
  <si>
    <t xml:space="preserve">Qty</t>
  </si>
  <si>
    <t xml:space="preserve">Spec / Dimensions</t>
  </si>
  <si>
    <t xml:space="preserve">Format</t>
  </si>
  <si>
    <t xml:space="preserve">Milestone</t>
  </si>
  <si>
    <t xml:space="preserve">Priority</t>
  </si>
  <si>
    <t xml:space="preserve">Status</t>
  </si>
  <si>
    <t xml:space="preserve">Notes</t>
  </si>
  <si>
    <t xml:space="preserve">T-001</t>
  </si>
  <si>
    <t xml:space="preserve">Tiles</t>
  </si>
  <si>
    <r>
      <rPr>
        <sz val="10"/>
        <rFont val="DejaVu Sans"/>
        <family val="2"/>
      </rPr>
      <t xml:space="preserve">萬 </t>
    </r>
    <r>
      <rPr>
        <sz val="10"/>
        <rFont val="Arial"/>
        <family val="0"/>
        <charset val="1"/>
      </rPr>
      <t xml:space="preserve">suit faces 1–9</t>
    </r>
  </si>
  <si>
    <t xml:space="preserve">96×128 pt design base; engraved glyph; export @1x/2x/3x atlas</t>
  </si>
  <si>
    <t xml:space="preserve">PNG atlas (SVG master)</t>
  </si>
  <si>
    <t xml:space="preserve">M3</t>
  </si>
  <si>
    <t xml:space="preserve">P0</t>
  </si>
  <si>
    <t xml:space="preserve">Not started</t>
  </si>
  <si>
    <t xml:space="preserve">Traditional red/black glyphs</t>
  </si>
  <si>
    <t xml:space="preserve">T-002</t>
  </si>
  <si>
    <r>
      <rPr>
        <sz val="10"/>
        <rFont val="DejaVu Sans"/>
        <family val="2"/>
      </rPr>
      <t xml:space="preserve">筒 </t>
    </r>
    <r>
      <rPr>
        <sz val="10"/>
        <rFont val="Arial"/>
        <family val="0"/>
        <charset val="1"/>
      </rPr>
      <t xml:space="preserve">suit faces 1–9</t>
    </r>
  </si>
  <si>
    <t xml:space="preserve">96×128 pt; @1x/2x/3x</t>
  </si>
  <si>
    <t xml:space="preserve">Blue/black</t>
  </si>
  <si>
    <t xml:space="preserve">T-003</t>
  </si>
  <si>
    <r>
      <rPr>
        <sz val="10"/>
        <rFont val="DejaVu Sans"/>
        <family val="2"/>
      </rPr>
      <t xml:space="preserve">索 </t>
    </r>
    <r>
      <rPr>
        <sz val="10"/>
        <rFont val="Arial"/>
        <family val="0"/>
        <charset val="1"/>
      </rPr>
      <t xml:space="preserve">suit faces 1–9</t>
    </r>
  </si>
  <si>
    <r>
      <rPr>
        <sz val="10"/>
        <rFont val="Arial"/>
        <family val="0"/>
        <charset val="1"/>
      </rPr>
      <t xml:space="preserve">Green; 1</t>
    </r>
    <r>
      <rPr>
        <sz val="10"/>
        <rFont val="DejaVu Sans"/>
        <family val="2"/>
      </rPr>
      <t xml:space="preserve">索 </t>
    </r>
    <r>
      <rPr>
        <sz val="10"/>
        <rFont val="Arial"/>
        <family val="0"/>
        <charset val="1"/>
      </rPr>
      <t xml:space="preserve">bird</t>
    </r>
  </si>
  <si>
    <t xml:space="preserve">T-004</t>
  </si>
  <si>
    <r>
      <rPr>
        <sz val="10"/>
        <rFont val="Arial"/>
        <family val="0"/>
        <charset val="1"/>
      </rPr>
      <t xml:space="preserve">Wind faces </t>
    </r>
    <r>
      <rPr>
        <sz val="10"/>
        <rFont val="DejaVu Sans"/>
        <family val="2"/>
      </rPr>
      <t xml:space="preserve">東南西北</t>
    </r>
  </si>
  <si>
    <t xml:space="preserve">T-005</t>
  </si>
  <si>
    <r>
      <rPr>
        <sz val="10"/>
        <rFont val="Arial"/>
        <family val="0"/>
        <charset val="1"/>
      </rPr>
      <t xml:space="preserve">Dragon faces </t>
    </r>
    <r>
      <rPr>
        <sz val="10"/>
        <rFont val="DejaVu Sans"/>
        <family val="2"/>
      </rPr>
      <t xml:space="preserve">中發白</t>
    </r>
  </si>
  <si>
    <r>
      <rPr>
        <sz val="10"/>
        <rFont val="DejaVu Sans"/>
        <family val="2"/>
      </rPr>
      <t xml:space="preserve">白 </t>
    </r>
    <r>
      <rPr>
        <sz val="10"/>
        <rFont val="Arial"/>
        <family val="0"/>
        <charset val="1"/>
      </rPr>
      <t xml:space="preserve">= blue frame</t>
    </r>
  </si>
  <si>
    <t xml:space="preserve">T-006</t>
  </si>
  <si>
    <r>
      <rPr>
        <sz val="10"/>
        <rFont val="Arial"/>
        <family val="0"/>
        <charset val="1"/>
      </rPr>
      <t xml:space="preserve">Flower faces </t>
    </r>
    <r>
      <rPr>
        <sz val="10"/>
        <rFont val="DejaVu Sans"/>
        <family val="2"/>
      </rPr>
      <t xml:space="preserve">春夏秋冬梅蘭菊竹</t>
    </r>
  </si>
  <si>
    <t xml:space="preserve">96×128 pt; ornate but distinct silhouettes</t>
  </si>
  <si>
    <t xml:space="preserve">T-007</t>
  </si>
  <si>
    <r>
      <rPr>
        <sz val="10"/>
        <rFont val="DejaVu Sans"/>
        <family val="2"/>
      </rPr>
      <t xml:space="preserve">百搭 </t>
    </r>
    <r>
      <rPr>
        <sz val="10"/>
        <rFont val="Arial"/>
        <family val="0"/>
        <charset val="1"/>
      </rPr>
      <t xml:space="preserve">joker face</t>
    </r>
  </si>
  <si>
    <r>
      <rPr>
        <sz val="10"/>
        <rFont val="Arial"/>
        <family val="0"/>
        <charset val="1"/>
      </rPr>
      <t xml:space="preserve">96×128 pt; gold </t>
    </r>
    <r>
      <rPr>
        <sz val="10"/>
        <rFont val="DejaVu Sans"/>
        <family val="2"/>
      </rPr>
      <t xml:space="preserve">百搭 </t>
    </r>
    <r>
      <rPr>
        <sz val="10"/>
        <rFont val="Arial"/>
        <family val="0"/>
        <charset val="1"/>
      </rPr>
      <t xml:space="preserve">glyph + jade glow; must read at 40×54 river size</t>
    </r>
  </si>
  <si>
    <t xml:space="preserve">M4</t>
  </si>
  <si>
    <t xml:space="preserve">GDD 01 §4</t>
  </si>
  <si>
    <t xml:space="preserve">T-008</t>
  </si>
  <si>
    <t xml:space="preserve">Tile back</t>
  </si>
  <si>
    <r>
      <rPr>
        <sz val="10"/>
        <rFont val="Arial"/>
        <family val="0"/>
        <charset val="1"/>
      </rPr>
      <t xml:space="preserve">96×128 pt; </t>
    </r>
    <r>
      <rPr>
        <sz val="10"/>
        <rFont val="DejaVu Sans"/>
        <family val="2"/>
      </rPr>
      <t xml:space="preserve">麻雀綠 </t>
    </r>
    <r>
      <rPr>
        <sz val="10"/>
        <rFont val="Arial"/>
        <family val="0"/>
        <charset val="1"/>
      </rPr>
      <t xml:space="preserve">lattice</t>
    </r>
  </si>
  <si>
    <t xml:space="preserve">PNG atlas</t>
  </si>
  <si>
    <t xml:space="preserve">T-009</t>
  </si>
  <si>
    <t xml:space="preserve">Tile side/edge chrome</t>
  </si>
  <si>
    <t xml:space="preserve">9-patch or per-size sprite</t>
  </si>
  <si>
    <t xml:space="preserve">PNG</t>
  </si>
  <si>
    <t xml:space="preserve">P1</t>
  </si>
  <si>
    <t xml:space="preserve">3D-ish depth</t>
  </si>
  <si>
    <t xml:space="preserve">T-010</t>
  </si>
  <si>
    <t xml:space="preserve">Face-down wall pair sprite</t>
  </si>
  <si>
    <t xml:space="preserve">stacked 2-tile unit for wall render</t>
  </si>
  <si>
    <t xml:space="preserve">E-001</t>
  </si>
  <si>
    <t xml:space="preserve">Table &amp; props</t>
  </si>
  <si>
    <t xml:space="preserve">Table frame + green inlay</t>
  </si>
  <si>
    <t xml:space="preserve">per-aspect bg or 9-patch; rosewood #5C3A21 / inlay #2E5E4E</t>
  </si>
  <si>
    <t xml:space="preserve">E-002</t>
  </si>
  <si>
    <t xml:space="preserve">Room backdrop w/ neon dressing</t>
  </si>
  <si>
    <t xml:space="preserve">layered PNGs, parallax-lite; low contrast</t>
  </si>
  <si>
    <t xml:space="preserve">M5</t>
  </si>
  <si>
    <t xml:space="preserve">P2</t>
  </si>
  <si>
    <t xml:space="preserve">Non-play-area dressing</t>
  </si>
  <si>
    <t xml:space="preserve">E-003</t>
  </si>
  <si>
    <r>
      <rPr>
        <sz val="10"/>
        <rFont val="Arial"/>
        <family val="0"/>
        <charset val="1"/>
      </rPr>
      <t xml:space="preserve">Center hub panel (</t>
    </r>
    <r>
      <rPr>
        <sz val="10"/>
        <rFont val="DejaVu Sans"/>
        <family val="2"/>
      </rPr>
      <t xml:space="preserve">拉牌盒 </t>
    </r>
    <r>
      <rPr>
        <sz val="10"/>
        <rFont val="Arial"/>
        <family val="0"/>
        <charset val="1"/>
      </rPr>
      <t xml:space="preserve">style)</t>
    </r>
  </si>
  <si>
    <r>
      <rPr>
        <sz val="10"/>
        <rFont val="Arial"/>
        <family val="0"/>
        <charset val="1"/>
      </rPr>
      <t xml:space="preserve">square panel; holds </t>
    </r>
    <r>
      <rPr>
        <sz val="10"/>
        <rFont val="DejaVu Sans"/>
        <family val="2"/>
      </rPr>
      <t xml:space="preserve">圈風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局數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牌數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骰</t>
    </r>
  </si>
  <si>
    <t xml:space="preserve">PNG + widget</t>
  </si>
  <si>
    <t xml:space="preserve">E-004</t>
  </si>
  <si>
    <r>
      <rPr>
        <sz val="10"/>
        <rFont val="DejaVu Sans"/>
        <family val="2"/>
      </rPr>
      <t xml:space="preserve">莊 </t>
    </r>
    <r>
      <rPr>
        <sz val="10"/>
        <rFont val="Arial"/>
        <family val="0"/>
        <charset val="1"/>
      </rPr>
      <t xml:space="preserve">dealer coin</t>
    </r>
  </si>
  <si>
    <t xml:space="preserve">brass style, 64×64</t>
  </si>
  <si>
    <t xml:space="preserve">E-005</t>
  </si>
  <si>
    <r>
      <rPr>
        <sz val="10"/>
        <rFont val="DejaVu Sans"/>
        <family val="2"/>
      </rPr>
      <t xml:space="preserve">拉莊 </t>
    </r>
    <r>
      <rPr>
        <sz val="10"/>
        <rFont val="Arial"/>
        <family val="0"/>
        <charset val="1"/>
      </rPr>
      <t xml:space="preserve">chip stack numerals 1–9</t>
    </r>
  </si>
  <si>
    <r>
      <rPr>
        <sz val="10"/>
        <rFont val="Arial"/>
        <family val="0"/>
        <charset val="1"/>
      </rPr>
      <t xml:space="preserve">red chips w/ </t>
    </r>
    <r>
      <rPr>
        <sz val="10"/>
        <rFont val="DejaVu Sans"/>
        <family val="2"/>
      </rPr>
      <t xml:space="preserve">拉</t>
    </r>
    <r>
      <rPr>
        <sz val="10"/>
        <rFont val="Arial"/>
        <family val="0"/>
        <charset val="1"/>
      </rPr>
      <t xml:space="preserve">N numeral</t>
    </r>
  </si>
  <si>
    <t xml:space="preserve">E-006</t>
  </si>
  <si>
    <t xml:space="preserve">Dice faces + tumble animation</t>
  </si>
  <si>
    <t xml:space="preserve">faces 1–6 + tumble sprite sheet ~600ms</t>
  </si>
  <si>
    <t xml:space="preserve">PNG sheet</t>
  </si>
  <si>
    <r>
      <rPr>
        <sz val="10"/>
        <rFont val="Arial"/>
        <family val="0"/>
        <charset val="1"/>
      </rPr>
      <t xml:space="preserve">Used by </t>
    </r>
    <r>
      <rPr>
        <sz val="10"/>
        <rFont val="DejaVu Sans"/>
        <family val="2"/>
      </rPr>
      <t xml:space="preserve">開門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執位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換牌</t>
    </r>
  </si>
  <si>
    <t xml:space="preserve">E-007</t>
  </si>
  <si>
    <r>
      <rPr>
        <sz val="10"/>
        <rFont val="Arial"/>
        <family val="0"/>
        <charset val="1"/>
      </rPr>
      <t xml:space="preserve">Seat wind chips </t>
    </r>
    <r>
      <rPr>
        <sz val="10"/>
        <rFont val="DejaVu Sans"/>
        <family val="2"/>
      </rPr>
      <t xml:space="preserve">東南西北</t>
    </r>
  </si>
  <si>
    <t xml:space="preserve">small chips beside avatars</t>
  </si>
  <si>
    <t xml:space="preserve">E-008</t>
  </si>
  <si>
    <t xml:space="preserve">Seat frame / name plate</t>
  </si>
  <si>
    <t xml:space="preserve">holds avatar+name+badges</t>
  </si>
  <si>
    <t xml:space="preserve">PNG 9-patch</t>
  </si>
  <si>
    <t xml:space="preserve">E-009</t>
  </si>
  <si>
    <t xml:space="preserve">Status badges (AI robot, wifi-off, host crown)</t>
  </si>
  <si>
    <t xml:space="preserve">24–32 px</t>
  </si>
  <si>
    <t xml:space="preserve">E-010</t>
  </si>
  <si>
    <t xml:space="preserve">Room-code card + QR frame</t>
  </si>
  <si>
    <t xml:space="preserve">share screen hero card</t>
  </si>
  <si>
    <t xml:space="preserve">E-011</t>
  </si>
  <si>
    <r>
      <rPr>
        <sz val="10"/>
        <rFont val="DejaVu Sans"/>
        <family val="2"/>
      </rPr>
      <t xml:space="preserve">叮 </t>
    </r>
    <r>
      <rPr>
        <sz val="10"/>
        <rFont val="Arial"/>
        <family val="0"/>
        <charset val="1"/>
      </rPr>
      <t xml:space="preserve">red corner tag</t>
    </r>
  </si>
  <si>
    <t xml:space="preserve">river-tile overlay tag</t>
  </si>
  <si>
    <t xml:space="preserve">A-001</t>
  </si>
  <si>
    <t xml:space="preserve">Avatars</t>
  </si>
  <si>
    <r>
      <rPr>
        <sz val="10"/>
        <rFont val="Arial"/>
        <family val="0"/>
        <charset val="1"/>
      </rPr>
      <t xml:space="preserve">Player avatar set (</t>
    </r>
    <r>
      <rPr>
        <sz val="10"/>
        <rFont val="DejaVu Sans"/>
        <family val="2"/>
      </rPr>
      <t xml:space="preserve">茶餐廳 </t>
    </r>
    <r>
      <rPr>
        <sz val="10"/>
        <rFont val="Arial"/>
        <family val="0"/>
        <charset val="1"/>
      </rPr>
      <t xml:space="preserve">theme)</t>
    </r>
  </si>
  <si>
    <r>
      <rPr>
        <sz val="10"/>
        <rFont val="Arial"/>
        <family val="0"/>
        <charset val="1"/>
      </rPr>
      <t xml:space="preserve">128×128 round; </t>
    </r>
    <r>
      <rPr>
        <sz val="10"/>
        <rFont val="DejaVu Sans"/>
        <family val="2"/>
      </rPr>
      <t xml:space="preserve">奶茶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菠蘿包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蛋撻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燒賣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貓店長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雀友…</t>
    </r>
  </si>
  <si>
    <t xml:space="preserve">12–16 target</t>
  </si>
  <si>
    <t xml:space="preserve">A-002</t>
  </si>
  <si>
    <t xml:space="preserve">AI mascot avatars</t>
  </si>
  <si>
    <t xml:space="preserve">robot-ified variants of A-001 style</t>
  </si>
  <si>
    <t xml:space="preserve">U-001</t>
  </si>
  <si>
    <t xml:space="preserve">UI kit</t>
  </si>
  <si>
    <r>
      <rPr>
        <sz val="10"/>
        <rFont val="Arial"/>
        <family val="0"/>
        <charset val="1"/>
      </rPr>
      <t xml:space="preserve">Action pill buttons </t>
    </r>
    <r>
      <rPr>
        <sz val="10"/>
        <rFont val="DejaVu Sans"/>
        <family val="2"/>
      </rPr>
      <t xml:space="preserve">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過</t>
    </r>
  </si>
  <si>
    <t xml:space="preserve">6 colorways × 3 states (normal/pressed/disabled); ≥64 px tall</t>
  </si>
  <si>
    <t xml:space="preserve">PNG 9-patch/widget</t>
  </si>
  <si>
    <t xml:space="preserve">Color coding per GDD 01 §8</t>
  </si>
  <si>
    <t xml:space="preserve">U-002</t>
  </si>
  <si>
    <t xml:space="preserve">Menu buttons primary/secondary</t>
  </si>
  <si>
    <t xml:space="preserve">pill, neon border active</t>
  </si>
  <si>
    <t xml:space="preserve">widget theme</t>
  </si>
  <si>
    <t xml:space="preserve">Mostly Flutter theming</t>
  </si>
  <si>
    <t xml:space="preserve">U-003</t>
  </si>
  <si>
    <t xml:space="preserve">Form controls (toggle/stepper/slider/radio-card)</t>
  </si>
  <si>
    <t xml:space="preserve">editor + wizard styling</t>
  </si>
  <si>
    <t xml:space="preserve">U-004</t>
  </si>
  <si>
    <t xml:space="preserve">Countdown ring</t>
  </si>
  <si>
    <t xml:space="preserve">draining ring; shader or sprite sheet</t>
  </si>
  <si>
    <t xml:space="preserve">shader/sheet</t>
  </si>
  <si>
    <t xml:space="preserve">Claim &amp; turn timers</t>
  </si>
  <si>
    <t xml:space="preserve">U-005</t>
  </si>
  <si>
    <t xml:space="preserve">Dialog/sheet frames</t>
  </si>
  <si>
    <t xml:space="preserve">dark card + gold rule line</t>
  </si>
  <si>
    <t xml:space="preserve">U-006</t>
  </si>
  <si>
    <r>
      <rPr>
        <sz val="10"/>
        <rFont val="Arial"/>
        <family val="0"/>
        <charset val="1"/>
      </rPr>
      <t xml:space="preserve">List cells (editor row, </t>
    </r>
    <r>
      <rPr>
        <sz val="10"/>
        <rFont val="DejaVu Sans"/>
        <family val="2"/>
      </rPr>
      <t xml:space="preserve">圖鑑 </t>
    </r>
    <r>
      <rPr>
        <sz val="10"/>
        <rFont val="Arial"/>
        <family val="0"/>
        <charset val="1"/>
      </rPr>
      <t xml:space="preserve">card)</t>
    </r>
  </si>
  <si>
    <t xml:space="preserve">widget styling</t>
  </si>
  <si>
    <t xml:space="preserve">U-007</t>
  </si>
  <si>
    <t xml:space="preserve">Rules summary chip</t>
  </si>
  <si>
    <t xml:space="preserve">lobby/table diff-vs-official chip</t>
  </si>
  <si>
    <t xml:space="preserve">widget</t>
  </si>
  <si>
    <t xml:space="preserve">U-008</t>
  </si>
  <si>
    <r>
      <rPr>
        <sz val="10"/>
        <rFont val="Arial"/>
        <family val="0"/>
        <charset val="1"/>
      </rPr>
      <t xml:space="preserve">Ledger strip elements (chain link/broken/</t>
    </r>
    <r>
      <rPr>
        <sz val="10"/>
        <rFont val="DejaVu Sans"/>
        <family val="2"/>
      </rPr>
      <t xml:space="preserve">口 </t>
    </r>
    <r>
      <rPr>
        <sz val="10"/>
        <rFont val="Arial"/>
        <family val="0"/>
        <charset val="1"/>
      </rPr>
      <t xml:space="preserve">dot)</t>
    </r>
  </si>
  <si>
    <t xml:space="preserve">compact strip art</t>
  </si>
  <si>
    <r>
      <rPr>
        <sz val="10"/>
        <rFont val="DejaVu Sans"/>
        <family val="2"/>
      </rPr>
      <t xml:space="preserve">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踢半 </t>
    </r>
    <r>
      <rPr>
        <sz val="10"/>
        <rFont val="Arial"/>
        <family val="0"/>
        <charset val="1"/>
      </rPr>
      <t xml:space="preserve">UI</t>
    </r>
  </si>
  <si>
    <t xml:space="preserve">U-009</t>
  </si>
  <si>
    <t xml:space="preserve">Line icon set</t>
  </si>
  <si>
    <t xml:space="preserve">2 px stroke, rounded; settings/share/sound/help/edit/save/replay/QR/exit/kick/fairness…</t>
  </si>
  <si>
    <t xml:space="preserve">SVG→font/atlas</t>
  </si>
  <si>
    <t xml:space="preserve">U-010</t>
  </si>
  <si>
    <t xml:space="preserve">App fonts (Noto Sans TC + display face)</t>
  </si>
  <si>
    <t xml:space="preserve">OFL check for display face; tnum digits</t>
  </si>
  <si>
    <t xml:space="preserve">TTF/OTF</t>
  </si>
  <si>
    <t xml:space="preserve">GDD 01 §3; license gate</t>
  </si>
  <si>
    <t xml:space="preserve">V-001</t>
  </si>
  <si>
    <t xml:space="preserve">VFX</t>
  </si>
  <si>
    <t xml:space="preserve">Deal sweep trail</t>
  </si>
  <si>
    <t xml:space="preserve">40 ms/tile stagger</t>
  </si>
  <si>
    <t xml:space="preserve">engine FX</t>
  </si>
  <si>
    <t xml:space="preserve">V-002</t>
  </si>
  <si>
    <r>
      <rPr>
        <sz val="10"/>
        <rFont val="Arial"/>
        <family val="0"/>
        <charset val="1"/>
      </rPr>
      <t xml:space="preserve">Claim word flash cards </t>
    </r>
    <r>
      <rPr>
        <sz val="10"/>
        <rFont val="DejaVu Sans"/>
        <family val="2"/>
      </rPr>
      <t xml:space="preserve">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自摸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搶槓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雙響</t>
    </r>
  </si>
  <si>
    <t xml:space="preserve">display-type card + neon burst</t>
  </si>
  <si>
    <t xml:space="preserve">PNG + FX</t>
  </si>
  <si>
    <t xml:space="preserve">V-003</t>
  </si>
  <si>
    <r>
      <rPr>
        <sz val="10"/>
        <rFont val="DejaVu Sans"/>
        <family val="2"/>
      </rPr>
      <t xml:space="preserve">叮 </t>
    </r>
    <r>
      <rPr>
        <sz val="10"/>
        <rFont val="Arial"/>
        <family val="0"/>
        <charset val="1"/>
      </rPr>
      <t xml:space="preserve">stamp effect</t>
    </r>
  </si>
  <si>
    <t xml:space="preserve">red stamp thunk ≤400 ms</t>
  </si>
  <si>
    <t xml:space="preserve">sprite/FX</t>
  </si>
  <si>
    <t xml:space="preserve">V-004</t>
  </si>
  <si>
    <r>
      <rPr>
        <sz val="10"/>
        <rFont val="Arial"/>
        <family val="0"/>
        <charset val="1"/>
      </rPr>
      <t xml:space="preserve">Win fan-out glow + </t>
    </r>
    <r>
      <rPr>
        <sz val="10"/>
        <rFont val="DejaVu Sans"/>
        <family val="2"/>
      </rPr>
      <t xml:space="preserve">番 </t>
    </r>
    <r>
      <rPr>
        <sz val="10"/>
        <rFont val="Arial"/>
        <family val="0"/>
        <charset val="1"/>
      </rPr>
      <t xml:space="preserve">row cascade</t>
    </r>
  </si>
  <si>
    <t xml:space="preserve">win overlay sequence</t>
  </si>
  <si>
    <t xml:space="preserve">V-005</t>
  </si>
  <si>
    <t xml:space="preserve">Gold count-up particles + brass tick sync</t>
  </si>
  <si>
    <r>
      <rPr>
        <sz val="10"/>
        <rFont val="Arial"/>
        <family val="0"/>
        <charset val="1"/>
      </rPr>
      <t xml:space="preserve">score</t>
    </r>
    <r>
      <rPr>
        <sz val="10"/>
        <rFont val="DejaVu Sans"/>
        <family val="2"/>
      </rPr>
      <t xml:space="preserve">总 </t>
    </r>
    <r>
      <rPr>
        <sz val="10"/>
        <rFont val="Arial"/>
        <family val="0"/>
        <charset val="1"/>
      </rPr>
      <t xml:space="preserve">count-up</t>
    </r>
  </si>
  <si>
    <t xml:space="preserve">V-006</t>
  </si>
  <si>
    <t xml:space="preserve">Confetti (big win)</t>
  </si>
  <si>
    <r>
      <rPr>
        <sz val="10"/>
        <rFont val="Arial"/>
        <family val="0"/>
        <charset val="1"/>
      </rPr>
      <t xml:space="preserve">≥100</t>
    </r>
    <r>
      <rPr>
        <sz val="10"/>
        <rFont val="DejaVu Sans"/>
        <family val="2"/>
      </rPr>
      <t xml:space="preserve">番 </t>
    </r>
    <r>
      <rPr>
        <sz val="10"/>
        <rFont val="Arial"/>
        <family val="0"/>
        <charset val="1"/>
      </rPr>
      <t xml:space="preserve">tier</t>
    </r>
  </si>
  <si>
    <t xml:space="preserve">V-007</t>
  </si>
  <si>
    <r>
      <rPr>
        <sz val="10"/>
        <rFont val="Arial"/>
        <family val="0"/>
        <charset val="1"/>
      </rPr>
      <t xml:space="preserve">Neon flicker overlay (</t>
    </r>
    <r>
      <rPr>
        <sz val="10"/>
        <rFont val="DejaVu Sans"/>
        <family val="2"/>
      </rPr>
      <t xml:space="preserve">超大糊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</si>
  <si>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420</t>
    </r>
    <r>
      <rPr>
        <sz val="10"/>
        <rFont val="DejaVu Sans"/>
        <family val="2"/>
      </rPr>
      <t xml:space="preserve">番</t>
    </r>
    <r>
      <rPr>
        <sz val="10"/>
        <rFont val="Arial"/>
        <family val="0"/>
        <charset val="1"/>
      </rPr>
      <t xml:space="preserve">-class</t>
    </r>
  </si>
  <si>
    <t xml:space="preserve">V-008</t>
  </si>
  <si>
    <r>
      <rPr>
        <sz val="10"/>
        <rFont val="DejaVu Sans"/>
        <family val="2"/>
      </rPr>
      <t xml:space="preserve">拉 </t>
    </r>
    <r>
      <rPr>
        <sz val="10"/>
        <rFont val="Arial"/>
        <family val="0"/>
        <charset val="1"/>
      </rPr>
      <t xml:space="preserve">chain link / </t>
    </r>
    <r>
      <rPr>
        <sz val="10"/>
        <rFont val="DejaVu Sans"/>
        <family val="2"/>
      </rPr>
      <t xml:space="preserve">踢半 </t>
    </r>
    <r>
      <rPr>
        <sz val="10"/>
        <rFont val="Arial"/>
        <family val="0"/>
        <charset val="1"/>
      </rPr>
      <t xml:space="preserve">shatter</t>
    </r>
  </si>
  <si>
    <t xml:space="preserve">avatar-to-avatar ledger anim</t>
  </si>
  <si>
    <t xml:space="preserve">V-009</t>
  </si>
  <si>
    <r>
      <rPr>
        <sz val="10"/>
        <rFont val="DejaVu Sans"/>
        <family val="2"/>
      </rPr>
      <t xml:space="preserve">流局 </t>
    </r>
    <r>
      <rPr>
        <sz val="10"/>
        <rFont val="Arial"/>
        <family val="0"/>
        <charset val="1"/>
      </rPr>
      <t xml:space="preserve">wall-collapse</t>
    </r>
  </si>
  <si>
    <t xml:space="preserve">banner + collapse</t>
  </si>
  <si>
    <t xml:space="preserve">V-010</t>
  </si>
  <si>
    <r>
      <rPr>
        <sz val="10"/>
        <rFont val="Arial"/>
        <family val="0"/>
        <charset val="1"/>
      </rPr>
      <t xml:space="preserve">Flower replace sparkle / </t>
    </r>
    <r>
      <rPr>
        <sz val="10"/>
        <rFont val="DejaVu Sans"/>
        <family val="2"/>
      </rPr>
      <t xml:space="preserve">補花 </t>
    </r>
    <r>
      <rPr>
        <sz val="10"/>
        <rFont val="Arial"/>
        <family val="0"/>
        <charset val="1"/>
      </rPr>
      <t xml:space="preserve">flip</t>
    </r>
  </si>
  <si>
    <t xml:space="preserve">V-011</t>
  </si>
  <si>
    <r>
      <rPr>
        <sz val="10"/>
        <rFont val="Arial"/>
        <family val="0"/>
        <charset val="1"/>
      </rPr>
      <t xml:space="preserve">Turn glow ring + </t>
    </r>
    <r>
      <rPr>
        <sz val="10"/>
        <rFont val="DejaVu Sans"/>
        <family val="2"/>
      </rPr>
      <t xml:space="preserve">過水 </t>
    </r>
    <r>
      <rPr>
        <sz val="10"/>
        <rFont val="Arial"/>
        <family val="0"/>
        <charset val="1"/>
      </rPr>
      <t xml:space="preserve">red flash</t>
    </r>
  </si>
  <si>
    <t xml:space="preserve">state cues</t>
  </si>
  <si>
    <t xml:space="preserve">AU-001</t>
  </si>
  <si>
    <t xml:space="preserve">Audio</t>
  </si>
  <si>
    <t xml:space="preserve">Cantonese voice pack — male</t>
  </si>
  <si>
    <r>
      <rPr>
        <sz val="10"/>
        <rFont val="DejaVu Sans"/>
        <family val="2"/>
      </rPr>
      <t xml:space="preserve">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食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自摸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搶槓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雙響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流局</t>
    </r>
    <r>
      <rPr>
        <sz val="10"/>
        <rFont val="Arial"/>
        <family val="0"/>
        <charset val="1"/>
      </rPr>
      <t xml:space="preserve">; &lt;600 ms; −16 LUFS</t>
    </r>
  </si>
  <si>
    <t xml:space="preserve">OGG 44.1k</t>
  </si>
  <si>
    <t xml:space="preserve">Record both packs same session</t>
  </si>
  <si>
    <t xml:space="preserve">AU-002</t>
  </si>
  <si>
    <t xml:space="preserve">Cantonese voice pack — female</t>
  </si>
  <si>
    <t xml:space="preserve">same script</t>
  </si>
  <si>
    <t xml:space="preserve">AU-003</t>
  </si>
  <si>
    <t xml:space="preserve">SFX set</t>
  </si>
  <si>
    <r>
      <rPr>
        <sz val="10"/>
        <rFont val="Arial"/>
        <family val="0"/>
        <charset val="1"/>
      </rPr>
      <t xml:space="preserve">tile clack×3, shuffle, wall build, discard, draw, dice, buttons, claim stinger, </t>
    </r>
    <r>
      <rPr>
        <sz val="10"/>
        <rFont val="DejaVu Sans"/>
        <family val="2"/>
      </rPr>
      <t xml:space="preserve">叮 </t>
    </r>
    <r>
      <rPr>
        <sz val="10"/>
        <rFont val="Arial"/>
        <family val="0"/>
        <charset val="1"/>
      </rPr>
      <t xml:space="preserve">thunk, fanfare S/L, gong, brass tick, chain clink/shatter, </t>
    </r>
    <r>
      <rPr>
        <sz val="10"/>
        <rFont val="DejaVu Sans"/>
        <family val="2"/>
      </rPr>
      <t xml:space="preserve">流局 </t>
    </r>
    <r>
      <rPr>
        <sz val="10"/>
        <rFont val="Arial"/>
        <family val="0"/>
        <charset val="1"/>
      </rPr>
      <t xml:space="preserve">sting, pop, error</t>
    </r>
  </si>
  <si>
    <t xml:space="preserve">OGG</t>
  </si>
  <si>
    <t xml:space="preserve">M3–M5</t>
  </si>
  <si>
    <t xml:space="preserve">Foley-real preferred</t>
  </si>
  <si>
    <t xml:space="preserve">AU-004</t>
  </si>
  <si>
    <t xml:space="preserve">BGM — lobby loop</t>
  </si>
  <si>
    <r>
      <rPr>
        <sz val="10"/>
        <rFont val="Arial"/>
        <family val="0"/>
        <charset val="1"/>
      </rPr>
      <t xml:space="preserve">lo-fi </t>
    </r>
    <r>
      <rPr>
        <sz val="10"/>
        <rFont val="DejaVu Sans"/>
        <family val="2"/>
      </rPr>
      <t xml:space="preserve">港風</t>
    </r>
    <r>
      <rPr>
        <sz val="10"/>
        <rFont val="Arial"/>
        <family val="0"/>
        <charset val="1"/>
      </rPr>
      <t xml:space="preserve">, 60–90 s seamless</t>
    </r>
  </si>
  <si>
    <t xml:space="preserve">AU-005</t>
  </si>
  <si>
    <t xml:space="preserve">BGM — in-game loops</t>
  </si>
  <si>
    <t xml:space="preserve">ducks under voice</t>
  </si>
  <si>
    <t xml:space="preserve">D-001</t>
  </si>
  <si>
    <t xml:space="preserve">Data/content</t>
  </si>
  <si>
    <r>
      <rPr>
        <sz val="10"/>
        <rFont val="Arial"/>
        <family val="0"/>
        <charset val="1"/>
      </rPr>
      <t xml:space="preserve">fan_table.json (official </t>
    </r>
    <r>
      <rPr>
        <sz val="10"/>
        <rFont val="DejaVu Sans"/>
        <family val="2"/>
      </rPr>
      <t xml:space="preserve">番種簡表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</si>
  <si>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~150 entries; verified line-by-line vs </t>
    </r>
    <r>
      <rPr>
        <sz val="10"/>
        <rFont val="DejaVu Sans"/>
        <family val="2"/>
      </rPr>
      <t xml:space="preserve">總例 </t>
    </r>
    <r>
      <rPr>
        <sz val="10"/>
        <rFont val="Arial"/>
        <family val="0"/>
        <charset val="1"/>
      </rPr>
      <t xml:space="preserve">PDF p.18; schema per GDD 03 §1</t>
    </r>
  </si>
  <si>
    <t xml:space="preserve">JSON</t>
  </si>
  <si>
    <t xml:space="preserve">M1</t>
  </si>
  <si>
    <t xml:space="preserve">GATE for everything</t>
  </si>
  <si>
    <t xml:space="preserve">D-002</t>
  </si>
  <si>
    <r>
      <rPr>
        <sz val="10"/>
        <rFont val="DejaVu Sans"/>
        <family val="2"/>
      </rPr>
      <t xml:space="preserve">圖鑑 </t>
    </r>
    <r>
      <rPr>
        <sz val="10"/>
        <rFont val="Arial"/>
        <family val="0"/>
        <charset val="1"/>
      </rPr>
      <t xml:space="preserve">example hands</t>
    </r>
  </si>
  <si>
    <r>
      <rPr>
        <sz val="10"/>
        <rFont val="Arial"/>
        <family val="0"/>
        <charset val="1"/>
      </rPr>
      <t xml:space="preserve">per-</t>
    </r>
    <r>
      <rPr>
        <sz val="10"/>
        <rFont val="DejaVu Sans"/>
        <family val="2"/>
      </rPr>
      <t xml:space="preserve">番種 </t>
    </r>
    <r>
      <rPr>
        <sz val="10"/>
        <rFont val="Arial"/>
        <family val="0"/>
        <charset val="1"/>
      </rPr>
      <t xml:space="preserve">example hand as tile-list JSON</t>
    </r>
  </si>
  <si>
    <t xml:space="preserve">M4+</t>
  </si>
  <si>
    <t xml:space="preserve">Ship progressively</t>
  </si>
  <si>
    <t xml:space="preserve">D-003</t>
  </si>
  <si>
    <t xml:space="preserve">In-app rules reference text</t>
  </si>
  <si>
    <t xml:space="preserve">own wording pending R1 rights decision</t>
  </si>
  <si>
    <t xml:space="preserve">MD/JSON</t>
  </si>
  <si>
    <t xml:space="preserve">Risk R1</t>
  </si>
  <si>
    <t xml:space="preserve">D-004</t>
  </si>
  <si>
    <t xml:space="preserve">Canned chat phrases</t>
  </si>
  <si>
    <r>
      <rPr>
        <sz val="10"/>
        <rFont val="DejaVu Sans"/>
        <family val="2"/>
      </rPr>
      <t xml:space="preserve">快啲啦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好牌</t>
    </r>
    <r>
      <rPr>
        <sz val="10"/>
        <rFont val="Arial"/>
        <family val="0"/>
        <charset val="1"/>
      </rPr>
      <t xml:space="preserve">!/</t>
    </r>
    <r>
      <rPr>
        <sz val="10"/>
        <rFont val="DejaVu Sans"/>
        <family val="2"/>
      </rPr>
      <t xml:space="preserve">唔好意思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食得好…</t>
    </r>
  </si>
  <si>
    <t xml:space="preserve">D-005</t>
  </si>
  <si>
    <t xml:space="preserve">Tutorial script (60-s interactive tour)</t>
  </si>
  <si>
    <r>
      <rPr>
        <sz val="10"/>
        <rFont val="Arial"/>
        <family val="0"/>
        <charset val="1"/>
      </rPr>
      <t xml:space="preserve">deal→claim→</t>
    </r>
    <r>
      <rPr>
        <sz val="10"/>
        <rFont val="DejaVu Sans"/>
        <family val="2"/>
      </rPr>
      <t xml:space="preserve">叮→</t>
    </r>
    <r>
      <rPr>
        <sz val="10"/>
        <rFont val="Arial"/>
        <family val="0"/>
        <charset val="1"/>
      </rPr>
      <t xml:space="preserve">win</t>
    </r>
  </si>
  <si>
    <t xml:space="preserve">JSON/code</t>
  </si>
  <si>
    <t xml:space="preserve">M6</t>
  </si>
  <si>
    <t xml:space="preserve">D-006</t>
  </si>
  <si>
    <t xml:space="preserve">Editor preview sample hand</t>
  </si>
  <si>
    <t xml:space="preserve">fixed showcase hand</t>
  </si>
  <si>
    <t xml:space="preserve">S-001</t>
  </si>
  <si>
    <t xml:space="preserve">Store</t>
  </si>
  <si>
    <t xml:space="preserve">App icon</t>
  </si>
  <si>
    <r>
      <rPr>
        <sz val="10"/>
        <rFont val="Arial"/>
        <family val="0"/>
        <charset val="1"/>
      </rPr>
      <t xml:space="preserve">512×512; ivory tile </t>
    </r>
    <r>
      <rPr>
        <sz val="10"/>
        <rFont val="DejaVu Sans"/>
        <family val="2"/>
      </rPr>
      <t xml:space="preserve">「開」 </t>
    </r>
    <r>
      <rPr>
        <sz val="10"/>
        <rFont val="Arial"/>
        <family val="0"/>
        <charset val="1"/>
      </rPr>
      <t xml:space="preserve">neon glow</t>
    </r>
  </si>
  <si>
    <t xml:space="preserve">S-002</t>
  </si>
  <si>
    <t xml:space="preserve">Feature graphic</t>
  </si>
  <si>
    <t xml:space="preserve">1024×500</t>
  </si>
  <si>
    <t xml:space="preserve">S-003</t>
  </si>
  <si>
    <t xml:space="preserve">Screenshots</t>
  </si>
  <si>
    <r>
      <rPr>
        <sz val="10"/>
        <rFont val="Arial"/>
        <family val="0"/>
        <charset val="1"/>
      </rPr>
      <t xml:space="preserve">phone 16:9 &amp; 20:9; table/win/editor/wizard/</t>
    </r>
    <r>
      <rPr>
        <sz val="10"/>
        <rFont val="DejaVu Sans"/>
        <family val="2"/>
      </rPr>
      <t xml:space="preserve">百搭</t>
    </r>
    <r>
      <rPr>
        <sz val="10"/>
        <rFont val="Arial"/>
        <family val="0"/>
        <charset val="1"/>
      </rPr>
      <t xml:space="preserve">/ledger/</t>
    </r>
    <r>
      <rPr>
        <sz val="10"/>
        <rFont val="DejaVu Sans"/>
        <family val="2"/>
      </rPr>
      <t xml:space="preserve">圖鑑</t>
    </r>
    <r>
      <rPr>
        <sz val="10"/>
        <rFont val="Arial"/>
        <family val="0"/>
        <charset val="1"/>
      </rPr>
      <t xml:space="preserve">/lobby + caption bands</t>
    </r>
  </si>
  <si>
    <t xml:space="preserve">S-004</t>
  </si>
  <si>
    <t xml:space="preserve">Privacy policy page</t>
  </si>
  <si>
    <t xml:space="preserve">hosted URL</t>
  </si>
  <si>
    <t xml:space="preserve">web</t>
  </si>
  <si>
    <t xml:space="preserve">Data-safety form dependency</t>
  </si>
  <si>
    <t xml:space="preserve">S-005</t>
  </si>
  <si>
    <r>
      <rPr>
        <sz val="10"/>
        <rFont val="Arial"/>
        <family val="0"/>
        <charset val="1"/>
      </rPr>
      <t xml:space="preserve">Listing copy </t>
    </r>
    <r>
      <rPr>
        <sz val="10"/>
        <rFont val="DejaVu Sans"/>
        <family val="2"/>
      </rPr>
      <t xml:space="preserve">繁中</t>
    </r>
  </si>
  <si>
    <t xml:space="preserve">title/short/full desc; no gambling wording</t>
  </si>
  <si>
    <t xml:space="preserve">text</t>
  </si>
  <si>
    <t xml:space="preserve">Name TBD, check collisions</t>
  </si>
  <si>
    <t xml:space="preserve">S-006</t>
  </si>
  <si>
    <t xml:space="preserve">IARC questionnaire answers</t>
  </si>
  <si>
    <t xml:space="preserve">simulated gambling = yes; no real money</t>
  </si>
  <si>
    <t xml:space="preserve">doc</t>
  </si>
  <si>
    <t xml:space="preserve">Asset Production Summary</t>
  </si>
  <si>
    <r>
      <rPr>
        <i val="true"/>
        <sz val="9"/>
        <color rgb="FF777777"/>
        <rFont val="DejaVu Sans"/>
        <family val="2"/>
      </rPr>
      <t xml:space="preserve">《開枱》港式台牌 — </t>
    </r>
    <r>
      <rPr>
        <i val="true"/>
        <sz val="9"/>
        <color rgb="FF777777"/>
        <rFont val="Arial"/>
        <family val="0"/>
        <charset val="1"/>
      </rPr>
      <t xml:space="preserve">asset tracker · basis: game-design-doc/09-ASSETS.md · 2026-07-07</t>
    </r>
  </si>
  <si>
    <t xml:space="preserve">By category</t>
  </si>
  <si>
    <t xml:space="preserve">Line items</t>
  </si>
  <si>
    <t xml:space="preserve">Unit qty</t>
  </si>
  <si>
    <t xml:space="preserve">Done</t>
  </si>
  <si>
    <t xml:space="preserve">TOTAL</t>
  </si>
  <si>
    <t xml:space="preserve">By priority</t>
  </si>
  <si>
    <t xml:space="preserve">By milestone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</si>
</sst>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2EDE4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777777"/>
      <name val="DejaVu Sans"/>
      <family val="2"/>
    </font>
    <font>
      <i val="true"/>
      <sz val="9"/>
      <color rgb="FF77777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1B1F"/>
        <bgColor rgb="FF333300"/>
      </patternFill>
    </fill>
    <fill>
      <patternFill patternType="solid">
        <fgColor rgb="FFF4CCCC"/>
        <bgColor rgb="FFDDDDDD"/>
      </patternFill>
    </fill>
    <fill>
      <patternFill patternType="solid">
        <fgColor rgb="FFFCE5CD"/>
        <bgColor rgb="FFF2EDE4"/>
      </patternFill>
    </fill>
    <fill>
      <patternFill patternType="solid">
        <fgColor rgb="FFD9EAD3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1B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EDE4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CE5C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EDE4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6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s">
        <v>12</v>
      </c>
      <c r="D2" s="2" t="n">
        <v>9</v>
      </c>
      <c r="E2" s="4" t="s">
        <v>13</v>
      </c>
      <c r="F2" s="2" t="s">
        <v>14</v>
      </c>
      <c r="G2" s="2" t="s">
        <v>15</v>
      </c>
      <c r="H2" s="5" t="s">
        <v>16</v>
      </c>
      <c r="I2" s="2" t="s">
        <v>17</v>
      </c>
      <c r="J2" s="4" t="s">
        <v>18</v>
      </c>
    </row>
    <row r="3" customFormat="false" ht="15" hidden="false" customHeight="false" outlineLevel="0" collapsed="false">
      <c r="A3" s="2" t="s">
        <v>19</v>
      </c>
      <c r="B3" s="2" t="s">
        <v>11</v>
      </c>
      <c r="C3" s="3" t="s">
        <v>20</v>
      </c>
      <c r="D3" s="2" t="n">
        <v>9</v>
      </c>
      <c r="E3" s="4" t="s">
        <v>21</v>
      </c>
      <c r="F3" s="2" t="s">
        <v>14</v>
      </c>
      <c r="G3" s="2" t="s">
        <v>15</v>
      </c>
      <c r="H3" s="5" t="s">
        <v>16</v>
      </c>
      <c r="I3" s="2" t="s">
        <v>17</v>
      </c>
      <c r="J3" s="4" t="s">
        <v>22</v>
      </c>
    </row>
    <row r="4" customFormat="false" ht="15" hidden="false" customHeight="false" outlineLevel="0" collapsed="false">
      <c r="A4" s="2" t="s">
        <v>23</v>
      </c>
      <c r="B4" s="2" t="s">
        <v>11</v>
      </c>
      <c r="C4" s="3" t="s">
        <v>24</v>
      </c>
      <c r="D4" s="2" t="n">
        <v>9</v>
      </c>
      <c r="E4" s="4" t="s">
        <v>21</v>
      </c>
      <c r="F4" s="2" t="s">
        <v>14</v>
      </c>
      <c r="G4" s="2" t="s">
        <v>15</v>
      </c>
      <c r="H4" s="5" t="s">
        <v>16</v>
      </c>
      <c r="I4" s="2" t="s">
        <v>17</v>
      </c>
      <c r="J4" s="4" t="s">
        <v>25</v>
      </c>
    </row>
    <row r="5" customFormat="false" ht="15" hidden="false" customHeight="false" outlineLevel="0" collapsed="false">
      <c r="A5" s="2" t="s">
        <v>26</v>
      </c>
      <c r="B5" s="2" t="s">
        <v>11</v>
      </c>
      <c r="C5" s="2" t="s">
        <v>27</v>
      </c>
      <c r="D5" s="2" t="n">
        <v>4</v>
      </c>
      <c r="E5" s="4" t="s">
        <v>21</v>
      </c>
      <c r="F5" s="2" t="s">
        <v>14</v>
      </c>
      <c r="G5" s="2" t="s">
        <v>15</v>
      </c>
      <c r="H5" s="5" t="s">
        <v>16</v>
      </c>
      <c r="I5" s="2" t="s">
        <v>17</v>
      </c>
      <c r="J5" s="4"/>
    </row>
    <row r="6" customFormat="false" ht="15" hidden="false" customHeight="false" outlineLevel="0" collapsed="false">
      <c r="A6" s="2" t="s">
        <v>28</v>
      </c>
      <c r="B6" s="2" t="s">
        <v>11</v>
      </c>
      <c r="C6" s="2" t="s">
        <v>29</v>
      </c>
      <c r="D6" s="2" t="n">
        <v>3</v>
      </c>
      <c r="E6" s="4" t="s">
        <v>21</v>
      </c>
      <c r="F6" s="2" t="s">
        <v>14</v>
      </c>
      <c r="G6" s="2" t="s">
        <v>15</v>
      </c>
      <c r="H6" s="5" t="s">
        <v>16</v>
      </c>
      <c r="I6" s="2" t="s">
        <v>17</v>
      </c>
      <c r="J6" s="6" t="s">
        <v>30</v>
      </c>
    </row>
    <row r="7" customFormat="false" ht="15" hidden="false" customHeight="false" outlineLevel="0" collapsed="false">
      <c r="A7" s="2" t="s">
        <v>31</v>
      </c>
      <c r="B7" s="2" t="s">
        <v>11</v>
      </c>
      <c r="C7" s="2" t="s">
        <v>32</v>
      </c>
      <c r="D7" s="2" t="n">
        <v>8</v>
      </c>
      <c r="E7" s="4" t="s">
        <v>33</v>
      </c>
      <c r="F7" s="2" t="s">
        <v>14</v>
      </c>
      <c r="G7" s="2" t="s">
        <v>15</v>
      </c>
      <c r="H7" s="5" t="s">
        <v>16</v>
      </c>
      <c r="I7" s="2" t="s">
        <v>17</v>
      </c>
      <c r="J7" s="4"/>
    </row>
    <row r="8" customFormat="false" ht="23.85" hidden="false" customHeight="false" outlineLevel="0" collapsed="false">
      <c r="A8" s="2" t="s">
        <v>34</v>
      </c>
      <c r="B8" s="2" t="s">
        <v>11</v>
      </c>
      <c r="C8" s="3" t="s">
        <v>35</v>
      </c>
      <c r="D8" s="2" t="n">
        <v>1</v>
      </c>
      <c r="E8" s="4" t="s">
        <v>36</v>
      </c>
      <c r="F8" s="2" t="s">
        <v>14</v>
      </c>
      <c r="G8" s="2" t="s">
        <v>37</v>
      </c>
      <c r="H8" s="5" t="s">
        <v>16</v>
      </c>
      <c r="I8" s="2" t="s">
        <v>17</v>
      </c>
      <c r="J8" s="4" t="s">
        <v>38</v>
      </c>
    </row>
    <row r="9" customFormat="false" ht="15" hidden="false" customHeight="false" outlineLevel="0" collapsed="false">
      <c r="A9" s="2" t="s">
        <v>39</v>
      </c>
      <c r="B9" s="2" t="s">
        <v>11</v>
      </c>
      <c r="C9" s="2" t="s">
        <v>40</v>
      </c>
      <c r="D9" s="2" t="n">
        <v>1</v>
      </c>
      <c r="E9" s="4" t="s">
        <v>41</v>
      </c>
      <c r="F9" s="2" t="s">
        <v>42</v>
      </c>
      <c r="G9" s="2" t="s">
        <v>15</v>
      </c>
      <c r="H9" s="5" t="s">
        <v>16</v>
      </c>
      <c r="I9" s="2" t="s">
        <v>17</v>
      </c>
      <c r="J9" s="4"/>
    </row>
    <row r="10" customFormat="false" ht="15" hidden="false" customHeight="false" outlineLevel="0" collapsed="false">
      <c r="A10" s="2" t="s">
        <v>43</v>
      </c>
      <c r="B10" s="2" t="s">
        <v>11</v>
      </c>
      <c r="C10" s="2" t="s">
        <v>44</v>
      </c>
      <c r="D10" s="2" t="n">
        <v>1</v>
      </c>
      <c r="E10" s="4" t="s">
        <v>45</v>
      </c>
      <c r="F10" s="2" t="s">
        <v>46</v>
      </c>
      <c r="G10" s="2" t="s">
        <v>15</v>
      </c>
      <c r="H10" s="7" t="s">
        <v>47</v>
      </c>
      <c r="I10" s="2" t="s">
        <v>17</v>
      </c>
      <c r="J10" s="4" t="s">
        <v>48</v>
      </c>
    </row>
    <row r="11" customFormat="false" ht="15" hidden="false" customHeight="false" outlineLevel="0" collapsed="false">
      <c r="A11" s="2" t="s">
        <v>49</v>
      </c>
      <c r="B11" s="2" t="s">
        <v>11</v>
      </c>
      <c r="C11" s="2" t="s">
        <v>50</v>
      </c>
      <c r="D11" s="2" t="n">
        <v>1</v>
      </c>
      <c r="E11" s="4" t="s">
        <v>51</v>
      </c>
      <c r="F11" s="2" t="s">
        <v>42</v>
      </c>
      <c r="G11" s="2" t="s">
        <v>15</v>
      </c>
      <c r="H11" s="5" t="s">
        <v>16</v>
      </c>
      <c r="I11" s="2" t="s">
        <v>17</v>
      </c>
      <c r="J11" s="4"/>
    </row>
    <row r="12" customFormat="false" ht="15" hidden="false" customHeight="false" outlineLevel="0" collapsed="false">
      <c r="A12" s="2" t="s">
        <v>52</v>
      </c>
      <c r="B12" s="2" t="s">
        <v>53</v>
      </c>
      <c r="C12" s="2" t="s">
        <v>54</v>
      </c>
      <c r="D12" s="2" t="n">
        <v>1</v>
      </c>
      <c r="E12" s="4" t="s">
        <v>55</v>
      </c>
      <c r="F12" s="2" t="s">
        <v>46</v>
      </c>
      <c r="G12" s="2" t="s">
        <v>15</v>
      </c>
      <c r="H12" s="5" t="s">
        <v>16</v>
      </c>
      <c r="I12" s="2" t="s">
        <v>17</v>
      </c>
      <c r="J12" s="4"/>
    </row>
    <row r="13" customFormat="false" ht="15" hidden="false" customHeight="false" outlineLevel="0" collapsed="false">
      <c r="A13" s="2" t="s">
        <v>56</v>
      </c>
      <c r="B13" s="2" t="s">
        <v>53</v>
      </c>
      <c r="C13" s="2" t="s">
        <v>57</v>
      </c>
      <c r="D13" s="2" t="n">
        <v>3</v>
      </c>
      <c r="E13" s="4" t="s">
        <v>58</v>
      </c>
      <c r="F13" s="2" t="s">
        <v>46</v>
      </c>
      <c r="G13" s="2" t="s">
        <v>59</v>
      </c>
      <c r="H13" s="8" t="s">
        <v>60</v>
      </c>
      <c r="I13" s="2" t="s">
        <v>17</v>
      </c>
      <c r="J13" s="4" t="s">
        <v>61</v>
      </c>
    </row>
    <row r="14" customFormat="false" ht="15" hidden="false" customHeight="false" outlineLevel="0" collapsed="false">
      <c r="A14" s="2" t="s">
        <v>62</v>
      </c>
      <c r="B14" s="2" t="s">
        <v>53</v>
      </c>
      <c r="C14" s="2" t="s">
        <v>63</v>
      </c>
      <c r="D14" s="2" t="n">
        <v>1</v>
      </c>
      <c r="E14" s="4" t="s">
        <v>64</v>
      </c>
      <c r="F14" s="2" t="s">
        <v>65</v>
      </c>
      <c r="G14" s="2" t="s">
        <v>15</v>
      </c>
      <c r="H14" s="5" t="s">
        <v>16</v>
      </c>
      <c r="I14" s="2" t="s">
        <v>17</v>
      </c>
      <c r="J14" s="4"/>
    </row>
    <row r="15" customFormat="false" ht="15" hidden="false" customHeight="false" outlineLevel="0" collapsed="false">
      <c r="A15" s="2" t="s">
        <v>66</v>
      </c>
      <c r="B15" s="2" t="s">
        <v>53</v>
      </c>
      <c r="C15" s="3" t="s">
        <v>67</v>
      </c>
      <c r="D15" s="2" t="n">
        <v>1</v>
      </c>
      <c r="E15" s="4" t="s">
        <v>68</v>
      </c>
      <c r="F15" s="2" t="s">
        <v>46</v>
      </c>
      <c r="G15" s="2" t="s">
        <v>15</v>
      </c>
      <c r="H15" s="5" t="s">
        <v>16</v>
      </c>
      <c r="I15" s="2" t="s">
        <v>17</v>
      </c>
      <c r="J15" s="4"/>
    </row>
    <row r="16" customFormat="false" ht="15" hidden="false" customHeight="false" outlineLevel="0" collapsed="false">
      <c r="A16" s="2" t="s">
        <v>69</v>
      </c>
      <c r="B16" s="2" t="s">
        <v>53</v>
      </c>
      <c r="C16" s="3" t="s">
        <v>70</v>
      </c>
      <c r="D16" s="2" t="n">
        <v>9</v>
      </c>
      <c r="E16" s="4" t="s">
        <v>71</v>
      </c>
      <c r="F16" s="2" t="s">
        <v>42</v>
      </c>
      <c r="G16" s="2" t="s">
        <v>15</v>
      </c>
      <c r="H16" s="7" t="s">
        <v>47</v>
      </c>
      <c r="I16" s="2" t="s">
        <v>17</v>
      </c>
      <c r="J16" s="4"/>
    </row>
    <row r="17" customFormat="false" ht="15" hidden="false" customHeight="false" outlineLevel="0" collapsed="false">
      <c r="A17" s="2" t="s">
        <v>72</v>
      </c>
      <c r="B17" s="2" t="s">
        <v>53</v>
      </c>
      <c r="C17" s="2" t="s">
        <v>73</v>
      </c>
      <c r="D17" s="2" t="n">
        <v>1</v>
      </c>
      <c r="E17" s="4" t="s">
        <v>74</v>
      </c>
      <c r="F17" s="2" t="s">
        <v>75</v>
      </c>
      <c r="G17" s="2" t="s">
        <v>15</v>
      </c>
      <c r="H17" s="5" t="s">
        <v>16</v>
      </c>
      <c r="I17" s="2" t="s">
        <v>17</v>
      </c>
      <c r="J17" s="4" t="s">
        <v>76</v>
      </c>
    </row>
    <row r="18" customFormat="false" ht="15" hidden="false" customHeight="false" outlineLevel="0" collapsed="false">
      <c r="A18" s="2" t="s">
        <v>77</v>
      </c>
      <c r="B18" s="2" t="s">
        <v>53</v>
      </c>
      <c r="C18" s="2" t="s">
        <v>78</v>
      </c>
      <c r="D18" s="2" t="n">
        <v>4</v>
      </c>
      <c r="E18" s="4" t="s">
        <v>79</v>
      </c>
      <c r="F18" s="2" t="s">
        <v>42</v>
      </c>
      <c r="G18" s="2" t="s">
        <v>15</v>
      </c>
      <c r="H18" s="5" t="s">
        <v>16</v>
      </c>
      <c r="I18" s="2" t="s">
        <v>17</v>
      </c>
      <c r="J18" s="4"/>
    </row>
    <row r="19" customFormat="false" ht="15" hidden="false" customHeight="false" outlineLevel="0" collapsed="false">
      <c r="A19" s="2" t="s">
        <v>80</v>
      </c>
      <c r="B19" s="2" t="s">
        <v>53</v>
      </c>
      <c r="C19" s="2" t="s">
        <v>81</v>
      </c>
      <c r="D19" s="2" t="n">
        <v>1</v>
      </c>
      <c r="E19" s="4" t="s">
        <v>82</v>
      </c>
      <c r="F19" s="2" t="s">
        <v>83</v>
      </c>
      <c r="G19" s="2" t="s">
        <v>15</v>
      </c>
      <c r="H19" s="5" t="s">
        <v>16</v>
      </c>
      <c r="I19" s="2" t="s">
        <v>17</v>
      </c>
      <c r="J19" s="4"/>
    </row>
    <row r="20" customFormat="false" ht="15" hidden="false" customHeight="false" outlineLevel="0" collapsed="false">
      <c r="A20" s="2" t="s">
        <v>84</v>
      </c>
      <c r="B20" s="2" t="s">
        <v>53</v>
      </c>
      <c r="C20" s="2" t="s">
        <v>85</v>
      </c>
      <c r="D20" s="2" t="n">
        <v>3</v>
      </c>
      <c r="E20" s="4" t="s">
        <v>86</v>
      </c>
      <c r="F20" s="2" t="s">
        <v>42</v>
      </c>
      <c r="G20" s="2" t="s">
        <v>15</v>
      </c>
      <c r="H20" s="7" t="s">
        <v>47</v>
      </c>
      <c r="I20" s="2" t="s">
        <v>17</v>
      </c>
      <c r="J20" s="4"/>
    </row>
    <row r="21" customFormat="false" ht="15" hidden="false" customHeight="false" outlineLevel="0" collapsed="false">
      <c r="A21" s="2" t="s">
        <v>87</v>
      </c>
      <c r="B21" s="2" t="s">
        <v>53</v>
      </c>
      <c r="C21" s="2" t="s">
        <v>88</v>
      </c>
      <c r="D21" s="2" t="n">
        <v>1</v>
      </c>
      <c r="E21" s="4" t="s">
        <v>89</v>
      </c>
      <c r="F21" s="2" t="s">
        <v>65</v>
      </c>
      <c r="G21" s="2" t="s">
        <v>59</v>
      </c>
      <c r="H21" s="7" t="s">
        <v>47</v>
      </c>
      <c r="I21" s="2" t="s">
        <v>17</v>
      </c>
      <c r="J21" s="4"/>
    </row>
    <row r="22" customFormat="false" ht="15" hidden="false" customHeight="false" outlineLevel="0" collapsed="false">
      <c r="A22" s="2" t="s">
        <v>90</v>
      </c>
      <c r="B22" s="2" t="s">
        <v>53</v>
      </c>
      <c r="C22" s="3" t="s">
        <v>91</v>
      </c>
      <c r="D22" s="2" t="n">
        <v>1</v>
      </c>
      <c r="E22" s="4" t="s">
        <v>92</v>
      </c>
      <c r="F22" s="2" t="s">
        <v>46</v>
      </c>
      <c r="G22" s="2" t="s">
        <v>15</v>
      </c>
      <c r="H22" s="5" t="s">
        <v>16</v>
      </c>
      <c r="I22" s="2" t="s">
        <v>17</v>
      </c>
      <c r="J22" s="4"/>
    </row>
    <row r="23" customFormat="false" ht="15" hidden="false" customHeight="false" outlineLevel="0" collapsed="false">
      <c r="A23" s="2" t="s">
        <v>93</v>
      </c>
      <c r="B23" s="2" t="s">
        <v>94</v>
      </c>
      <c r="C23" s="2" t="s">
        <v>95</v>
      </c>
      <c r="D23" s="2" t="n">
        <v>14</v>
      </c>
      <c r="E23" s="4" t="s">
        <v>96</v>
      </c>
      <c r="F23" s="2" t="s">
        <v>42</v>
      </c>
      <c r="G23" s="2" t="s">
        <v>59</v>
      </c>
      <c r="H23" s="7" t="s">
        <v>47</v>
      </c>
      <c r="I23" s="2" t="s">
        <v>17</v>
      </c>
      <c r="J23" s="4" t="s">
        <v>97</v>
      </c>
    </row>
    <row r="24" customFormat="false" ht="15" hidden="false" customHeight="false" outlineLevel="0" collapsed="false">
      <c r="A24" s="2" t="s">
        <v>98</v>
      </c>
      <c r="B24" s="2" t="s">
        <v>94</v>
      </c>
      <c r="C24" s="2" t="s">
        <v>99</v>
      </c>
      <c r="D24" s="2" t="n">
        <v>4</v>
      </c>
      <c r="E24" s="4" t="s">
        <v>100</v>
      </c>
      <c r="F24" s="2" t="s">
        <v>42</v>
      </c>
      <c r="G24" s="2" t="s">
        <v>37</v>
      </c>
      <c r="H24" s="7" t="s">
        <v>47</v>
      </c>
      <c r="I24" s="2" t="s">
        <v>17</v>
      </c>
      <c r="J24" s="4"/>
    </row>
    <row r="25" customFormat="false" ht="15" hidden="false" customHeight="false" outlineLevel="0" collapsed="false">
      <c r="A25" s="2" t="s">
        <v>101</v>
      </c>
      <c r="B25" s="2" t="s">
        <v>102</v>
      </c>
      <c r="C25" s="2" t="s">
        <v>103</v>
      </c>
      <c r="D25" s="2" t="n">
        <v>18</v>
      </c>
      <c r="E25" s="4" t="s">
        <v>104</v>
      </c>
      <c r="F25" s="2" t="s">
        <v>105</v>
      </c>
      <c r="G25" s="2" t="s">
        <v>15</v>
      </c>
      <c r="H25" s="5" t="s">
        <v>16</v>
      </c>
      <c r="I25" s="2" t="s">
        <v>17</v>
      </c>
      <c r="J25" s="4" t="s">
        <v>106</v>
      </c>
    </row>
    <row r="26" customFormat="false" ht="15" hidden="false" customHeight="false" outlineLevel="0" collapsed="false">
      <c r="A26" s="2" t="s">
        <v>107</v>
      </c>
      <c r="B26" s="2" t="s">
        <v>102</v>
      </c>
      <c r="C26" s="2" t="s">
        <v>108</v>
      </c>
      <c r="D26" s="2" t="n">
        <v>6</v>
      </c>
      <c r="E26" s="4" t="s">
        <v>109</v>
      </c>
      <c r="F26" s="2" t="s">
        <v>110</v>
      </c>
      <c r="G26" s="2" t="s">
        <v>15</v>
      </c>
      <c r="H26" s="5" t="s">
        <v>16</v>
      </c>
      <c r="I26" s="2" t="s">
        <v>17</v>
      </c>
      <c r="J26" s="4" t="s">
        <v>111</v>
      </c>
    </row>
    <row r="27" customFormat="false" ht="15" hidden="false" customHeight="false" outlineLevel="0" collapsed="false">
      <c r="A27" s="2" t="s">
        <v>112</v>
      </c>
      <c r="B27" s="2" t="s">
        <v>102</v>
      </c>
      <c r="C27" s="2" t="s">
        <v>113</v>
      </c>
      <c r="D27" s="2" t="n">
        <v>4</v>
      </c>
      <c r="E27" s="4" t="s">
        <v>114</v>
      </c>
      <c r="F27" s="2" t="s">
        <v>110</v>
      </c>
      <c r="G27" s="2" t="s">
        <v>37</v>
      </c>
      <c r="H27" s="5" t="s">
        <v>16</v>
      </c>
      <c r="I27" s="2" t="s">
        <v>17</v>
      </c>
      <c r="J27" s="4"/>
    </row>
    <row r="28" customFormat="false" ht="15" hidden="false" customHeight="false" outlineLevel="0" collapsed="false">
      <c r="A28" s="2" t="s">
        <v>115</v>
      </c>
      <c r="B28" s="2" t="s">
        <v>102</v>
      </c>
      <c r="C28" s="2" t="s">
        <v>116</v>
      </c>
      <c r="D28" s="2" t="n">
        <v>1</v>
      </c>
      <c r="E28" s="4" t="s">
        <v>117</v>
      </c>
      <c r="F28" s="2" t="s">
        <v>118</v>
      </c>
      <c r="G28" s="2" t="s">
        <v>15</v>
      </c>
      <c r="H28" s="5" t="s">
        <v>16</v>
      </c>
      <c r="I28" s="2" t="s">
        <v>17</v>
      </c>
      <c r="J28" s="4" t="s">
        <v>119</v>
      </c>
    </row>
    <row r="29" customFormat="false" ht="15" hidden="false" customHeight="false" outlineLevel="0" collapsed="false">
      <c r="A29" s="2" t="s">
        <v>120</v>
      </c>
      <c r="B29" s="2" t="s">
        <v>102</v>
      </c>
      <c r="C29" s="2" t="s">
        <v>121</v>
      </c>
      <c r="D29" s="2" t="n">
        <v>2</v>
      </c>
      <c r="E29" s="4" t="s">
        <v>122</v>
      </c>
      <c r="F29" s="2" t="s">
        <v>83</v>
      </c>
      <c r="G29" s="2" t="s">
        <v>15</v>
      </c>
      <c r="H29" s="5" t="s">
        <v>16</v>
      </c>
      <c r="I29" s="2" t="s">
        <v>17</v>
      </c>
      <c r="J29" s="4"/>
    </row>
    <row r="30" customFormat="false" ht="15" hidden="false" customHeight="false" outlineLevel="0" collapsed="false">
      <c r="A30" s="2" t="s">
        <v>123</v>
      </c>
      <c r="B30" s="2" t="s">
        <v>102</v>
      </c>
      <c r="C30" s="2" t="s">
        <v>124</v>
      </c>
      <c r="D30" s="2" t="n">
        <v>2</v>
      </c>
      <c r="E30" s="4" t="s">
        <v>125</v>
      </c>
      <c r="F30" s="2" t="s">
        <v>110</v>
      </c>
      <c r="G30" s="2" t="s">
        <v>37</v>
      </c>
      <c r="H30" s="5" t="s">
        <v>16</v>
      </c>
      <c r="I30" s="2" t="s">
        <v>17</v>
      </c>
      <c r="J30" s="4"/>
    </row>
    <row r="31" customFormat="false" ht="15" hidden="false" customHeight="false" outlineLevel="0" collapsed="false">
      <c r="A31" s="2" t="s">
        <v>126</v>
      </c>
      <c r="B31" s="2" t="s">
        <v>102</v>
      </c>
      <c r="C31" s="2" t="s">
        <v>127</v>
      </c>
      <c r="D31" s="2" t="n">
        <v>1</v>
      </c>
      <c r="E31" s="4" t="s">
        <v>128</v>
      </c>
      <c r="F31" s="2" t="s">
        <v>129</v>
      </c>
      <c r="G31" s="2" t="s">
        <v>37</v>
      </c>
      <c r="H31" s="7" t="s">
        <v>47</v>
      </c>
      <c r="I31" s="2" t="s">
        <v>17</v>
      </c>
      <c r="J31" s="4"/>
    </row>
    <row r="32" customFormat="false" ht="15" hidden="false" customHeight="false" outlineLevel="0" collapsed="false">
      <c r="A32" s="2" t="s">
        <v>130</v>
      </c>
      <c r="B32" s="2" t="s">
        <v>102</v>
      </c>
      <c r="C32" s="2" t="s">
        <v>131</v>
      </c>
      <c r="D32" s="2" t="n">
        <v>3</v>
      </c>
      <c r="E32" s="4" t="s">
        <v>132</v>
      </c>
      <c r="F32" s="2" t="s">
        <v>42</v>
      </c>
      <c r="G32" s="2" t="s">
        <v>15</v>
      </c>
      <c r="H32" s="7" t="s">
        <v>47</v>
      </c>
      <c r="I32" s="2" t="s">
        <v>17</v>
      </c>
      <c r="J32" s="6" t="s">
        <v>133</v>
      </c>
    </row>
    <row r="33" customFormat="false" ht="35.05" hidden="false" customHeight="false" outlineLevel="0" collapsed="false">
      <c r="A33" s="2" t="s">
        <v>134</v>
      </c>
      <c r="B33" s="2" t="s">
        <v>102</v>
      </c>
      <c r="C33" s="2" t="s">
        <v>135</v>
      </c>
      <c r="D33" s="2" t="n">
        <v>30</v>
      </c>
      <c r="E33" s="4" t="s">
        <v>136</v>
      </c>
      <c r="F33" s="2" t="s">
        <v>137</v>
      </c>
      <c r="G33" s="2" t="s">
        <v>15</v>
      </c>
      <c r="H33" s="7" t="s">
        <v>47</v>
      </c>
      <c r="I33" s="2" t="s">
        <v>17</v>
      </c>
      <c r="J33" s="4"/>
    </row>
    <row r="34" customFormat="false" ht="15" hidden="false" customHeight="false" outlineLevel="0" collapsed="false">
      <c r="A34" s="2" t="s">
        <v>138</v>
      </c>
      <c r="B34" s="2" t="s">
        <v>102</v>
      </c>
      <c r="C34" s="2" t="s">
        <v>139</v>
      </c>
      <c r="D34" s="2" t="n">
        <v>2</v>
      </c>
      <c r="E34" s="4" t="s">
        <v>140</v>
      </c>
      <c r="F34" s="2" t="s">
        <v>141</v>
      </c>
      <c r="G34" s="2" t="s">
        <v>15</v>
      </c>
      <c r="H34" s="5" t="s">
        <v>16</v>
      </c>
      <c r="I34" s="2" t="s">
        <v>17</v>
      </c>
      <c r="J34" s="4" t="s">
        <v>142</v>
      </c>
    </row>
    <row r="35" customFormat="false" ht="15" hidden="false" customHeight="false" outlineLevel="0" collapsed="false">
      <c r="A35" s="2" t="s">
        <v>143</v>
      </c>
      <c r="B35" s="2" t="s">
        <v>144</v>
      </c>
      <c r="C35" s="2" t="s">
        <v>145</v>
      </c>
      <c r="D35" s="2" t="n">
        <v>1</v>
      </c>
      <c r="E35" s="4" t="s">
        <v>146</v>
      </c>
      <c r="F35" s="2" t="s">
        <v>147</v>
      </c>
      <c r="G35" s="2" t="s">
        <v>15</v>
      </c>
      <c r="H35" s="7" t="s">
        <v>47</v>
      </c>
      <c r="I35" s="2" t="s">
        <v>17</v>
      </c>
      <c r="J35" s="4"/>
    </row>
    <row r="36" customFormat="false" ht="15" hidden="false" customHeight="false" outlineLevel="0" collapsed="false">
      <c r="A36" s="2" t="s">
        <v>148</v>
      </c>
      <c r="B36" s="2" t="s">
        <v>144</v>
      </c>
      <c r="C36" s="2" t="s">
        <v>149</v>
      </c>
      <c r="D36" s="2" t="n">
        <v>7</v>
      </c>
      <c r="E36" s="4" t="s">
        <v>150</v>
      </c>
      <c r="F36" s="2" t="s">
        <v>151</v>
      </c>
      <c r="G36" s="2" t="s">
        <v>15</v>
      </c>
      <c r="H36" s="5" t="s">
        <v>16</v>
      </c>
      <c r="I36" s="2" t="s">
        <v>17</v>
      </c>
      <c r="J36" s="4"/>
    </row>
    <row r="37" customFormat="false" ht="15" hidden="false" customHeight="false" outlineLevel="0" collapsed="false">
      <c r="A37" s="2" t="s">
        <v>152</v>
      </c>
      <c r="B37" s="2" t="s">
        <v>144</v>
      </c>
      <c r="C37" s="3" t="s">
        <v>153</v>
      </c>
      <c r="D37" s="2" t="n">
        <v>1</v>
      </c>
      <c r="E37" s="4" t="s">
        <v>154</v>
      </c>
      <c r="F37" s="2" t="s">
        <v>155</v>
      </c>
      <c r="G37" s="2" t="s">
        <v>15</v>
      </c>
      <c r="H37" s="5" t="s">
        <v>16</v>
      </c>
      <c r="I37" s="2" t="s">
        <v>17</v>
      </c>
      <c r="J37" s="4"/>
    </row>
    <row r="38" customFormat="false" ht="15" hidden="false" customHeight="false" outlineLevel="0" collapsed="false">
      <c r="A38" s="2" t="s">
        <v>156</v>
      </c>
      <c r="B38" s="2" t="s">
        <v>144</v>
      </c>
      <c r="C38" s="2" t="s">
        <v>157</v>
      </c>
      <c r="D38" s="2" t="n">
        <v>1</v>
      </c>
      <c r="E38" s="4" t="s">
        <v>158</v>
      </c>
      <c r="F38" s="2" t="s">
        <v>147</v>
      </c>
      <c r="G38" s="2" t="s">
        <v>15</v>
      </c>
      <c r="H38" s="5" t="s">
        <v>16</v>
      </c>
      <c r="I38" s="2" t="s">
        <v>17</v>
      </c>
      <c r="J38" s="4"/>
    </row>
    <row r="39" customFormat="false" ht="15" hidden="false" customHeight="false" outlineLevel="0" collapsed="false">
      <c r="A39" s="2" t="s">
        <v>159</v>
      </c>
      <c r="B39" s="2" t="s">
        <v>144</v>
      </c>
      <c r="C39" s="2" t="s">
        <v>160</v>
      </c>
      <c r="D39" s="2" t="n">
        <v>1</v>
      </c>
      <c r="E39" s="4" t="s">
        <v>161</v>
      </c>
      <c r="F39" s="2" t="s">
        <v>147</v>
      </c>
      <c r="G39" s="2" t="s">
        <v>15</v>
      </c>
      <c r="H39" s="7" t="s">
        <v>47</v>
      </c>
      <c r="I39" s="2" t="s">
        <v>17</v>
      </c>
      <c r="J39" s="4"/>
    </row>
    <row r="40" customFormat="false" ht="15" hidden="false" customHeight="false" outlineLevel="0" collapsed="false">
      <c r="A40" s="2" t="s">
        <v>162</v>
      </c>
      <c r="B40" s="2" t="s">
        <v>144</v>
      </c>
      <c r="C40" s="2" t="s">
        <v>163</v>
      </c>
      <c r="D40" s="2" t="n">
        <v>1</v>
      </c>
      <c r="E40" s="4" t="s">
        <v>164</v>
      </c>
      <c r="F40" s="2" t="s">
        <v>147</v>
      </c>
      <c r="G40" s="2" t="s">
        <v>37</v>
      </c>
      <c r="H40" s="8" t="s">
        <v>60</v>
      </c>
      <c r="I40" s="2" t="s">
        <v>17</v>
      </c>
      <c r="J40" s="4"/>
    </row>
    <row r="41" customFormat="false" ht="15" hidden="false" customHeight="false" outlineLevel="0" collapsed="false">
      <c r="A41" s="2" t="s">
        <v>165</v>
      </c>
      <c r="B41" s="2" t="s">
        <v>144</v>
      </c>
      <c r="C41" s="2" t="s">
        <v>166</v>
      </c>
      <c r="D41" s="2" t="n">
        <v>1</v>
      </c>
      <c r="E41" s="4" t="s">
        <v>167</v>
      </c>
      <c r="F41" s="2" t="s">
        <v>147</v>
      </c>
      <c r="G41" s="2" t="s">
        <v>37</v>
      </c>
      <c r="H41" s="8" t="s">
        <v>60</v>
      </c>
      <c r="I41" s="2" t="s">
        <v>17</v>
      </c>
      <c r="J41" s="4"/>
    </row>
    <row r="42" customFormat="false" ht="15" hidden="false" customHeight="false" outlineLevel="0" collapsed="false">
      <c r="A42" s="2" t="s">
        <v>168</v>
      </c>
      <c r="B42" s="2" t="s">
        <v>144</v>
      </c>
      <c r="C42" s="3" t="s">
        <v>169</v>
      </c>
      <c r="D42" s="2" t="n">
        <v>2</v>
      </c>
      <c r="E42" s="4" t="s">
        <v>170</v>
      </c>
      <c r="F42" s="2" t="s">
        <v>155</v>
      </c>
      <c r="G42" s="2" t="s">
        <v>15</v>
      </c>
      <c r="H42" s="7" t="s">
        <v>47</v>
      </c>
      <c r="I42" s="2" t="s">
        <v>17</v>
      </c>
      <c r="J42" s="4"/>
    </row>
    <row r="43" customFormat="false" ht="15" hidden="false" customHeight="false" outlineLevel="0" collapsed="false">
      <c r="A43" s="2" t="s">
        <v>171</v>
      </c>
      <c r="B43" s="2" t="s">
        <v>144</v>
      </c>
      <c r="C43" s="3" t="s">
        <v>172</v>
      </c>
      <c r="D43" s="2" t="n">
        <v>1</v>
      </c>
      <c r="E43" s="4" t="s">
        <v>173</v>
      </c>
      <c r="F43" s="2" t="s">
        <v>147</v>
      </c>
      <c r="G43" s="2" t="s">
        <v>15</v>
      </c>
      <c r="H43" s="7" t="s">
        <v>47</v>
      </c>
      <c r="I43" s="2" t="s">
        <v>17</v>
      </c>
      <c r="J43" s="4"/>
    </row>
    <row r="44" customFormat="false" ht="15" hidden="false" customHeight="false" outlineLevel="0" collapsed="false">
      <c r="A44" s="2" t="s">
        <v>174</v>
      </c>
      <c r="B44" s="2" t="s">
        <v>144</v>
      </c>
      <c r="C44" s="2" t="s">
        <v>175</v>
      </c>
      <c r="D44" s="2" t="n">
        <v>1</v>
      </c>
      <c r="E44" s="4"/>
      <c r="F44" s="2" t="s">
        <v>147</v>
      </c>
      <c r="G44" s="2" t="s">
        <v>15</v>
      </c>
      <c r="H44" s="8" t="s">
        <v>60</v>
      </c>
      <c r="I44" s="2" t="s">
        <v>17</v>
      </c>
      <c r="J44" s="4"/>
    </row>
    <row r="45" customFormat="false" ht="15" hidden="false" customHeight="false" outlineLevel="0" collapsed="false">
      <c r="A45" s="2" t="s">
        <v>176</v>
      </c>
      <c r="B45" s="2" t="s">
        <v>144</v>
      </c>
      <c r="C45" s="2" t="s">
        <v>177</v>
      </c>
      <c r="D45" s="2" t="n">
        <v>2</v>
      </c>
      <c r="E45" s="4" t="s">
        <v>178</v>
      </c>
      <c r="F45" s="2" t="s">
        <v>147</v>
      </c>
      <c r="G45" s="2" t="s">
        <v>15</v>
      </c>
      <c r="H45" s="5" t="s">
        <v>16</v>
      </c>
      <c r="I45" s="2" t="s">
        <v>17</v>
      </c>
      <c r="J45" s="4"/>
    </row>
    <row r="46" customFormat="false" ht="15" hidden="false" customHeight="false" outlineLevel="0" collapsed="false">
      <c r="A46" s="2" t="s">
        <v>179</v>
      </c>
      <c r="B46" s="2" t="s">
        <v>180</v>
      </c>
      <c r="C46" s="2" t="s">
        <v>181</v>
      </c>
      <c r="D46" s="2" t="n">
        <v>9</v>
      </c>
      <c r="E46" s="6" t="s">
        <v>182</v>
      </c>
      <c r="F46" s="2" t="s">
        <v>183</v>
      </c>
      <c r="G46" s="2" t="s">
        <v>59</v>
      </c>
      <c r="H46" s="5" t="s">
        <v>16</v>
      </c>
      <c r="I46" s="2" t="s">
        <v>17</v>
      </c>
      <c r="J46" s="4" t="s">
        <v>184</v>
      </c>
    </row>
    <row r="47" customFormat="false" ht="15" hidden="false" customHeight="false" outlineLevel="0" collapsed="false">
      <c r="A47" s="2" t="s">
        <v>185</v>
      </c>
      <c r="B47" s="2" t="s">
        <v>180</v>
      </c>
      <c r="C47" s="2" t="s">
        <v>186</v>
      </c>
      <c r="D47" s="2" t="n">
        <v>9</v>
      </c>
      <c r="E47" s="4" t="s">
        <v>187</v>
      </c>
      <c r="F47" s="2" t="s">
        <v>183</v>
      </c>
      <c r="G47" s="2" t="s">
        <v>59</v>
      </c>
      <c r="H47" s="5" t="s">
        <v>16</v>
      </c>
      <c r="I47" s="2" t="s">
        <v>17</v>
      </c>
      <c r="J47" s="4"/>
    </row>
    <row r="48" customFormat="false" ht="35.05" hidden="false" customHeight="false" outlineLevel="0" collapsed="false">
      <c r="A48" s="2" t="s">
        <v>188</v>
      </c>
      <c r="B48" s="2" t="s">
        <v>180</v>
      </c>
      <c r="C48" s="2" t="s">
        <v>189</v>
      </c>
      <c r="D48" s="2" t="n">
        <v>20</v>
      </c>
      <c r="E48" s="4" t="s">
        <v>190</v>
      </c>
      <c r="F48" s="2" t="s">
        <v>191</v>
      </c>
      <c r="G48" s="2" t="s">
        <v>192</v>
      </c>
      <c r="H48" s="5" t="s">
        <v>16</v>
      </c>
      <c r="I48" s="2" t="s">
        <v>17</v>
      </c>
      <c r="J48" s="4" t="s">
        <v>193</v>
      </c>
    </row>
    <row r="49" customFormat="false" ht="15" hidden="false" customHeight="false" outlineLevel="0" collapsed="false">
      <c r="A49" s="2" t="s">
        <v>194</v>
      </c>
      <c r="B49" s="2" t="s">
        <v>180</v>
      </c>
      <c r="C49" s="2" t="s">
        <v>195</v>
      </c>
      <c r="D49" s="2" t="n">
        <v>1</v>
      </c>
      <c r="E49" s="4" t="s">
        <v>196</v>
      </c>
      <c r="F49" s="2" t="s">
        <v>191</v>
      </c>
      <c r="G49" s="2" t="s">
        <v>59</v>
      </c>
      <c r="H49" s="8" t="s">
        <v>60</v>
      </c>
      <c r="I49" s="2" t="s">
        <v>17</v>
      </c>
      <c r="J49" s="4"/>
    </row>
    <row r="50" customFormat="false" ht="15" hidden="false" customHeight="false" outlineLevel="0" collapsed="false">
      <c r="A50" s="2" t="s">
        <v>197</v>
      </c>
      <c r="B50" s="2" t="s">
        <v>180</v>
      </c>
      <c r="C50" s="2" t="s">
        <v>198</v>
      </c>
      <c r="D50" s="2" t="n">
        <v>2</v>
      </c>
      <c r="E50" s="4" t="s">
        <v>199</v>
      </c>
      <c r="F50" s="2" t="s">
        <v>191</v>
      </c>
      <c r="G50" s="2" t="s">
        <v>59</v>
      </c>
      <c r="H50" s="8" t="s">
        <v>60</v>
      </c>
      <c r="I50" s="2" t="s">
        <v>17</v>
      </c>
      <c r="J50" s="4"/>
    </row>
    <row r="51" customFormat="false" ht="23.85" hidden="false" customHeight="false" outlineLevel="0" collapsed="false">
      <c r="A51" s="2" t="s">
        <v>200</v>
      </c>
      <c r="B51" s="2" t="s">
        <v>201</v>
      </c>
      <c r="C51" s="2" t="s">
        <v>202</v>
      </c>
      <c r="D51" s="2" t="n">
        <v>1</v>
      </c>
      <c r="E51" s="4" t="s">
        <v>203</v>
      </c>
      <c r="F51" s="2" t="s">
        <v>204</v>
      </c>
      <c r="G51" s="2" t="s">
        <v>205</v>
      </c>
      <c r="H51" s="5" t="s">
        <v>16</v>
      </c>
      <c r="I51" s="2" t="s">
        <v>17</v>
      </c>
      <c r="J51" s="4" t="s">
        <v>206</v>
      </c>
    </row>
    <row r="52" customFormat="false" ht="15" hidden="false" customHeight="false" outlineLevel="0" collapsed="false">
      <c r="A52" s="2" t="s">
        <v>207</v>
      </c>
      <c r="B52" s="2" t="s">
        <v>201</v>
      </c>
      <c r="C52" s="3" t="s">
        <v>208</v>
      </c>
      <c r="D52" s="2" t="n">
        <v>150</v>
      </c>
      <c r="E52" s="4" t="s">
        <v>209</v>
      </c>
      <c r="F52" s="2" t="s">
        <v>204</v>
      </c>
      <c r="G52" s="2" t="s">
        <v>210</v>
      </c>
      <c r="H52" s="8" t="s">
        <v>60</v>
      </c>
      <c r="I52" s="2" t="s">
        <v>17</v>
      </c>
      <c r="J52" s="4" t="s">
        <v>211</v>
      </c>
    </row>
    <row r="53" customFormat="false" ht="15" hidden="false" customHeight="false" outlineLevel="0" collapsed="false">
      <c r="A53" s="2" t="s">
        <v>212</v>
      </c>
      <c r="B53" s="2" t="s">
        <v>201</v>
      </c>
      <c r="C53" s="2" t="s">
        <v>213</v>
      </c>
      <c r="D53" s="2" t="n">
        <v>1</v>
      </c>
      <c r="E53" s="4" t="s">
        <v>214</v>
      </c>
      <c r="F53" s="2" t="s">
        <v>215</v>
      </c>
      <c r="G53" s="2" t="s">
        <v>37</v>
      </c>
      <c r="H53" s="7" t="s">
        <v>47</v>
      </c>
      <c r="I53" s="2" t="s">
        <v>17</v>
      </c>
      <c r="J53" s="4" t="s">
        <v>216</v>
      </c>
    </row>
    <row r="54" customFormat="false" ht="15" hidden="false" customHeight="false" outlineLevel="0" collapsed="false">
      <c r="A54" s="2" t="s">
        <v>217</v>
      </c>
      <c r="B54" s="2" t="s">
        <v>201</v>
      </c>
      <c r="C54" s="2" t="s">
        <v>218</v>
      </c>
      <c r="D54" s="2" t="n">
        <v>12</v>
      </c>
      <c r="E54" s="6" t="s">
        <v>219</v>
      </c>
      <c r="F54" s="2" t="s">
        <v>204</v>
      </c>
      <c r="G54" s="2" t="s">
        <v>59</v>
      </c>
      <c r="H54" s="8" t="s">
        <v>60</v>
      </c>
      <c r="I54" s="2" t="s">
        <v>17</v>
      </c>
      <c r="J54" s="4"/>
    </row>
    <row r="55" customFormat="false" ht="15" hidden="false" customHeight="false" outlineLevel="0" collapsed="false">
      <c r="A55" s="2" t="s">
        <v>220</v>
      </c>
      <c r="B55" s="2" t="s">
        <v>201</v>
      </c>
      <c r="C55" s="2" t="s">
        <v>221</v>
      </c>
      <c r="D55" s="2" t="n">
        <v>1</v>
      </c>
      <c r="E55" s="4" t="s">
        <v>222</v>
      </c>
      <c r="F55" s="2" t="s">
        <v>223</v>
      </c>
      <c r="G55" s="2" t="s">
        <v>224</v>
      </c>
      <c r="H55" s="7" t="s">
        <v>47</v>
      </c>
      <c r="I55" s="2" t="s">
        <v>17</v>
      </c>
      <c r="J55" s="4"/>
    </row>
    <row r="56" customFormat="false" ht="15" hidden="false" customHeight="false" outlineLevel="0" collapsed="false">
      <c r="A56" s="2" t="s">
        <v>225</v>
      </c>
      <c r="B56" s="2" t="s">
        <v>201</v>
      </c>
      <c r="C56" s="2" t="s">
        <v>226</v>
      </c>
      <c r="D56" s="2" t="n">
        <v>1</v>
      </c>
      <c r="E56" s="4" t="s">
        <v>227</v>
      </c>
      <c r="F56" s="2" t="s">
        <v>204</v>
      </c>
      <c r="G56" s="2" t="s">
        <v>37</v>
      </c>
      <c r="H56" s="7" t="s">
        <v>47</v>
      </c>
      <c r="I56" s="2" t="s">
        <v>17</v>
      </c>
      <c r="J56" s="4"/>
    </row>
    <row r="57" customFormat="false" ht="15" hidden="false" customHeight="false" outlineLevel="0" collapsed="false">
      <c r="A57" s="2" t="s">
        <v>228</v>
      </c>
      <c r="B57" s="2" t="s">
        <v>229</v>
      </c>
      <c r="C57" s="2" t="s">
        <v>230</v>
      </c>
      <c r="D57" s="2" t="n">
        <v>1</v>
      </c>
      <c r="E57" s="4" t="s">
        <v>231</v>
      </c>
      <c r="F57" s="2" t="s">
        <v>46</v>
      </c>
      <c r="G57" s="2" t="s">
        <v>224</v>
      </c>
      <c r="H57" s="5" t="s">
        <v>16</v>
      </c>
      <c r="I57" s="2" t="s">
        <v>17</v>
      </c>
      <c r="J57" s="4"/>
    </row>
    <row r="58" customFormat="false" ht="15" hidden="false" customHeight="false" outlineLevel="0" collapsed="false">
      <c r="A58" s="2" t="s">
        <v>232</v>
      </c>
      <c r="B58" s="2" t="s">
        <v>229</v>
      </c>
      <c r="C58" s="2" t="s">
        <v>233</v>
      </c>
      <c r="D58" s="2" t="n">
        <v>1</v>
      </c>
      <c r="E58" s="4" t="s">
        <v>234</v>
      </c>
      <c r="F58" s="2" t="s">
        <v>46</v>
      </c>
      <c r="G58" s="2" t="s">
        <v>224</v>
      </c>
      <c r="H58" s="5" t="s">
        <v>16</v>
      </c>
      <c r="I58" s="2" t="s">
        <v>17</v>
      </c>
      <c r="J58" s="4"/>
    </row>
    <row r="59" customFormat="false" ht="23.85" hidden="false" customHeight="false" outlineLevel="0" collapsed="false">
      <c r="A59" s="2" t="s">
        <v>235</v>
      </c>
      <c r="B59" s="2" t="s">
        <v>229</v>
      </c>
      <c r="C59" s="2" t="s">
        <v>236</v>
      </c>
      <c r="D59" s="2" t="n">
        <v>8</v>
      </c>
      <c r="E59" s="4" t="s">
        <v>237</v>
      </c>
      <c r="F59" s="2" t="s">
        <v>46</v>
      </c>
      <c r="G59" s="2" t="s">
        <v>224</v>
      </c>
      <c r="H59" s="5" t="s">
        <v>16</v>
      </c>
      <c r="I59" s="2" t="s">
        <v>17</v>
      </c>
      <c r="J59" s="4"/>
    </row>
    <row r="60" customFormat="false" ht="15" hidden="false" customHeight="false" outlineLevel="0" collapsed="false">
      <c r="A60" s="2" t="s">
        <v>238</v>
      </c>
      <c r="B60" s="2" t="s">
        <v>229</v>
      </c>
      <c r="C60" s="2" t="s">
        <v>239</v>
      </c>
      <c r="D60" s="2" t="n">
        <v>1</v>
      </c>
      <c r="E60" s="4" t="s">
        <v>240</v>
      </c>
      <c r="F60" s="2" t="s">
        <v>241</v>
      </c>
      <c r="G60" s="2" t="s">
        <v>224</v>
      </c>
      <c r="H60" s="5" t="s">
        <v>16</v>
      </c>
      <c r="I60" s="2" t="s">
        <v>17</v>
      </c>
      <c r="J60" s="4" t="s">
        <v>242</v>
      </c>
    </row>
    <row r="61" customFormat="false" ht="15" hidden="false" customHeight="false" outlineLevel="0" collapsed="false">
      <c r="A61" s="2" t="s">
        <v>243</v>
      </c>
      <c r="B61" s="2" t="s">
        <v>229</v>
      </c>
      <c r="C61" s="2" t="s">
        <v>244</v>
      </c>
      <c r="D61" s="2" t="n">
        <v>1</v>
      </c>
      <c r="E61" s="4" t="s">
        <v>245</v>
      </c>
      <c r="F61" s="2" t="s">
        <v>246</v>
      </c>
      <c r="G61" s="2" t="s">
        <v>224</v>
      </c>
      <c r="H61" s="5" t="s">
        <v>16</v>
      </c>
      <c r="I61" s="2" t="s">
        <v>17</v>
      </c>
      <c r="J61" s="4" t="s">
        <v>247</v>
      </c>
    </row>
    <row r="62" customFormat="false" ht="15" hidden="false" customHeight="false" outlineLevel="0" collapsed="false">
      <c r="A62" s="2" t="s">
        <v>248</v>
      </c>
      <c r="B62" s="2" t="s">
        <v>229</v>
      </c>
      <c r="C62" s="2" t="s">
        <v>249</v>
      </c>
      <c r="D62" s="2" t="n">
        <v>1</v>
      </c>
      <c r="E62" s="4" t="s">
        <v>250</v>
      </c>
      <c r="F62" s="2" t="s">
        <v>251</v>
      </c>
      <c r="G62" s="2" t="s">
        <v>224</v>
      </c>
      <c r="H62" s="5" t="s">
        <v>16</v>
      </c>
      <c r="I62" s="2" t="s">
        <v>17</v>
      </c>
      <c r="J62" s="4"/>
    </row>
  </sheetData>
  <autoFilter ref="A1:J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9" t="s">
        <v>252</v>
      </c>
    </row>
    <row r="2" customFormat="false" ht="15" hidden="false" customHeight="false" outlineLevel="0" collapsed="false">
      <c r="A2" s="10" t="s">
        <v>253</v>
      </c>
    </row>
    <row r="4" customFormat="false" ht="15" hidden="false" customHeight="false" outlineLevel="0" collapsed="false">
      <c r="A4" s="11" t="s">
        <v>254</v>
      </c>
    </row>
    <row r="5" customFormat="false" ht="15" hidden="false" customHeight="false" outlineLevel="0" collapsed="false">
      <c r="A5" s="12" t="s">
        <v>1</v>
      </c>
      <c r="B5" s="12" t="s">
        <v>255</v>
      </c>
      <c r="C5" s="12" t="s">
        <v>256</v>
      </c>
      <c r="D5" s="12" t="s">
        <v>257</v>
      </c>
    </row>
    <row r="6" customFormat="false" ht="15" hidden="false" customHeight="false" outlineLevel="0" collapsed="false">
      <c r="A6" s="13" t="s">
        <v>11</v>
      </c>
      <c r="B6" s="13" t="n">
        <f aca="false">COUNTIF(Assets!B2:B62,A6)</f>
        <v>10</v>
      </c>
      <c r="C6" s="13" t="n">
        <f aca="false">SUMIF(Assets!B2:B62,A6,Assets!D2:D62)</f>
        <v>46</v>
      </c>
      <c r="D6" s="13" t="n">
        <f aca="false">COUNTIFS(Assets!B2:B62,A6,Assets!I2:I62,"Done")</f>
        <v>0</v>
      </c>
    </row>
    <row r="7" customFormat="false" ht="15" hidden="false" customHeight="false" outlineLevel="0" collapsed="false">
      <c r="A7" s="13" t="s">
        <v>53</v>
      </c>
      <c r="B7" s="13" t="n">
        <f aca="false">COUNTIF(Assets!B2:B62,A7)</f>
        <v>11</v>
      </c>
      <c r="C7" s="13" t="n">
        <f aca="false">SUMIF(Assets!B2:B62,A7,Assets!D2:D62)</f>
        <v>26</v>
      </c>
      <c r="D7" s="13" t="n">
        <f aca="false">COUNTIFS(Assets!B2:B62,A7,Assets!I2:I62,"Done")</f>
        <v>0</v>
      </c>
    </row>
    <row r="8" customFormat="false" ht="15" hidden="false" customHeight="false" outlineLevel="0" collapsed="false">
      <c r="A8" s="13" t="s">
        <v>94</v>
      </c>
      <c r="B8" s="13" t="n">
        <f aca="false">COUNTIF(Assets!B2:B62,A8)</f>
        <v>2</v>
      </c>
      <c r="C8" s="13" t="n">
        <f aca="false">SUMIF(Assets!B2:B62,A8,Assets!D2:D62)</f>
        <v>18</v>
      </c>
      <c r="D8" s="13" t="n">
        <f aca="false">COUNTIFS(Assets!B2:B62,A8,Assets!I2:I62,"Done")</f>
        <v>0</v>
      </c>
    </row>
    <row r="9" customFormat="false" ht="15" hidden="false" customHeight="false" outlineLevel="0" collapsed="false">
      <c r="A9" s="13" t="s">
        <v>102</v>
      </c>
      <c r="B9" s="13" t="n">
        <f aca="false">COUNTIF(Assets!B2:B62,A9)</f>
        <v>10</v>
      </c>
      <c r="C9" s="13" t="n">
        <f aca="false">SUMIF(Assets!B2:B62,A9,Assets!D2:D62)</f>
        <v>69</v>
      </c>
      <c r="D9" s="13" t="n">
        <f aca="false">COUNTIFS(Assets!B2:B62,A9,Assets!I2:I62,"Done")</f>
        <v>0</v>
      </c>
    </row>
    <row r="10" customFormat="false" ht="15" hidden="false" customHeight="false" outlineLevel="0" collapsed="false">
      <c r="A10" s="13" t="s">
        <v>144</v>
      </c>
      <c r="B10" s="13" t="n">
        <f aca="false">COUNTIF(Assets!B2:B62,A10)</f>
        <v>11</v>
      </c>
      <c r="C10" s="13" t="n">
        <f aca="false">SUMIF(Assets!B2:B62,A10,Assets!D2:D62)</f>
        <v>19</v>
      </c>
      <c r="D10" s="13" t="n">
        <f aca="false">COUNTIFS(Assets!B2:B62,A10,Assets!I2:I62,"Done")</f>
        <v>0</v>
      </c>
    </row>
    <row r="11" customFormat="false" ht="15" hidden="false" customHeight="false" outlineLevel="0" collapsed="false">
      <c r="A11" s="13" t="s">
        <v>180</v>
      </c>
      <c r="B11" s="13" t="n">
        <f aca="false">COUNTIF(Assets!B2:B62,A11)</f>
        <v>5</v>
      </c>
      <c r="C11" s="13" t="n">
        <f aca="false">SUMIF(Assets!B2:B62,A11,Assets!D2:D62)</f>
        <v>41</v>
      </c>
      <c r="D11" s="13" t="n">
        <f aca="false">COUNTIFS(Assets!B2:B62,A11,Assets!I2:I62,"Done")</f>
        <v>0</v>
      </c>
    </row>
    <row r="12" customFormat="false" ht="15" hidden="false" customHeight="false" outlineLevel="0" collapsed="false">
      <c r="A12" s="13" t="s">
        <v>201</v>
      </c>
      <c r="B12" s="13" t="n">
        <f aca="false">COUNTIF(Assets!B2:B62,A12)</f>
        <v>6</v>
      </c>
      <c r="C12" s="13" t="n">
        <f aca="false">SUMIF(Assets!B2:B62,A12,Assets!D2:D62)</f>
        <v>166</v>
      </c>
      <c r="D12" s="13" t="n">
        <f aca="false">COUNTIFS(Assets!B2:B62,A12,Assets!I2:I62,"Done")</f>
        <v>0</v>
      </c>
    </row>
    <row r="13" customFormat="false" ht="15" hidden="false" customHeight="false" outlineLevel="0" collapsed="false">
      <c r="A13" s="13" t="s">
        <v>229</v>
      </c>
      <c r="B13" s="13" t="n">
        <f aca="false">COUNTIF(Assets!B2:B62,A13)</f>
        <v>6</v>
      </c>
      <c r="C13" s="13" t="n">
        <f aca="false">SUMIF(Assets!B2:B62,A13,Assets!D2:D62)</f>
        <v>13</v>
      </c>
      <c r="D13" s="13" t="n">
        <f aca="false">COUNTIFS(Assets!B2:B62,A13,Assets!I2:I62,"Done")</f>
        <v>0</v>
      </c>
    </row>
    <row r="14" customFormat="false" ht="15" hidden="false" customHeight="false" outlineLevel="0" collapsed="false">
      <c r="A14" s="11" t="s">
        <v>258</v>
      </c>
      <c r="B14" s="11" t="n">
        <f aca="false">SUM(B6:B13)</f>
        <v>61</v>
      </c>
      <c r="C14" s="11" t="n">
        <f aca="false">SUM(C6:C13)</f>
        <v>398</v>
      </c>
      <c r="D14" s="11" t="n">
        <f aca="false">SUM(D6:D13)</f>
        <v>0</v>
      </c>
    </row>
    <row r="16" customFormat="false" ht="15" hidden="false" customHeight="false" outlineLevel="0" collapsed="false">
      <c r="A16" s="11" t="s">
        <v>259</v>
      </c>
    </row>
    <row r="17" customFormat="false" ht="15" hidden="false" customHeight="false" outlineLevel="0" collapsed="false">
      <c r="A17" s="12" t="s">
        <v>7</v>
      </c>
      <c r="B17" s="12" t="s">
        <v>255</v>
      </c>
    </row>
    <row r="18" customFormat="false" ht="15" hidden="false" customHeight="false" outlineLevel="0" collapsed="false">
      <c r="A18" s="13" t="s">
        <v>16</v>
      </c>
      <c r="B18" s="13" t="n">
        <f aca="false">COUNTIF(Assets!H2:H62,A18)</f>
        <v>37</v>
      </c>
    </row>
    <row r="19" customFormat="false" ht="15" hidden="false" customHeight="false" outlineLevel="0" collapsed="false">
      <c r="A19" s="13" t="s">
        <v>47</v>
      </c>
      <c r="B19" s="13" t="n">
        <f aca="false">COUNTIF(Assets!H2:H62,A19)</f>
        <v>16</v>
      </c>
    </row>
    <row r="20" customFormat="false" ht="15" hidden="false" customHeight="false" outlineLevel="0" collapsed="false">
      <c r="A20" s="13" t="s">
        <v>60</v>
      </c>
      <c r="B20" s="13" t="n">
        <f aca="false">COUNTIF(Assets!H2:H62,A20)</f>
        <v>8</v>
      </c>
    </row>
    <row r="22" customFormat="false" ht="15" hidden="false" customHeight="false" outlineLevel="0" collapsed="false">
      <c r="A22" s="11" t="s">
        <v>260</v>
      </c>
    </row>
    <row r="23" customFormat="false" ht="15" hidden="false" customHeight="false" outlineLevel="0" collapsed="false">
      <c r="A23" s="12" t="s">
        <v>6</v>
      </c>
      <c r="B23" s="12" t="s">
        <v>255</v>
      </c>
    </row>
    <row r="24" customFormat="false" ht="15" hidden="false" customHeight="false" outlineLevel="0" collapsed="false">
      <c r="A24" s="13" t="s">
        <v>205</v>
      </c>
      <c r="B24" s="13" t="n">
        <f aca="false">COUNTIF(Assets!G2:G62,A24)</f>
        <v>1</v>
      </c>
    </row>
    <row r="25" customFormat="false" ht="15" hidden="false" customHeight="false" outlineLevel="0" collapsed="false">
      <c r="A25" s="13" t="s">
        <v>15</v>
      </c>
      <c r="B25" s="13" t="n">
        <f aca="false">COUNTIF(Assets!G2:G62,A25)</f>
        <v>34</v>
      </c>
    </row>
    <row r="26" customFormat="false" ht="15" hidden="false" customHeight="false" outlineLevel="0" collapsed="false">
      <c r="A26" s="13" t="s">
        <v>37</v>
      </c>
      <c r="B26" s="13" t="n">
        <f aca="false">COUNTIF(Assets!G2:G62,A26)</f>
        <v>9</v>
      </c>
    </row>
    <row r="27" customFormat="false" ht="15" hidden="false" customHeight="false" outlineLevel="0" collapsed="false">
      <c r="A27" s="13" t="s">
        <v>210</v>
      </c>
      <c r="B27" s="13" t="n">
        <f aca="false">COUNTIF(Assets!G2:G62,A27)</f>
        <v>1</v>
      </c>
    </row>
    <row r="28" customFormat="false" ht="15" hidden="false" customHeight="false" outlineLevel="0" collapsed="false">
      <c r="A28" s="13" t="s">
        <v>59</v>
      </c>
      <c r="B28" s="13" t="n">
        <f aca="false">COUNTIF(Assets!G2:G62,A28)</f>
        <v>8</v>
      </c>
    </row>
    <row r="29" customFormat="false" ht="15" hidden="false" customHeight="false" outlineLevel="0" collapsed="false">
      <c r="A29" s="13" t="s">
        <v>224</v>
      </c>
      <c r="B29" s="13" t="n">
        <f aca="false">COUNTIF(Assets!G2:G62,A29)</f>
        <v>7</v>
      </c>
    </row>
    <row r="30" customFormat="false" ht="15" hidden="false" customHeight="false" outlineLevel="0" collapsed="false">
      <c r="A30" s="13" t="s">
        <v>192</v>
      </c>
      <c r="B30" s="13" t="n">
        <f aca="false">COUNTIF(Assets!G2:G62,A30)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2026-07-06T18:23:57Z</dcterms:created>
  <dc:creator>openpyxl</dc:creator>
  <dc:description/>
  <dc:language>en-US</dc:language>
  <cp:lastModifiedBy/>
  <dcterms:modified xsi:type="dcterms:W3CDTF">2026-07-06T18:23:57Z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